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AppData\Local\Temp\handytmp\"/>
    </mc:Choice>
  </mc:AlternateContent>
  <bookViews>
    <workbookView xWindow="1560" yWindow="450" windowWidth="26250" windowHeight="14685" activeTab="1"/>
  </bookViews>
  <sheets>
    <sheet name="1.29.수정(별치)" sheetId="1" r:id="rId1"/>
    <sheet name="2026년1월" sheetId="3" r:id="rId2"/>
  </sheets>
  <definedNames>
    <definedName name="_xlnm.Print_Area" localSheetId="0">'1.29.수정(별치)'!$A$1:$S$19</definedName>
    <definedName name="_xlnm.Print_Area" localSheetId="1">'2026년1월'!$A$1:$S$19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" i="3" l="1"/>
  <c r="N9" i="3"/>
  <c r="P9" i="3" s="1"/>
  <c r="N10" i="3"/>
  <c r="Q10" i="3" s="1"/>
  <c r="N11" i="3"/>
  <c r="N12" i="3"/>
  <c r="Q12" i="3" s="1"/>
  <c r="N13" i="3"/>
  <c r="Q13" i="3" s="1"/>
  <c r="N14" i="3"/>
  <c r="N15" i="3"/>
  <c r="P15" i="3" s="1"/>
  <c r="N16" i="3"/>
  <c r="N7" i="3"/>
  <c r="Q7" i="3" s="1"/>
  <c r="K8" i="3"/>
  <c r="K9" i="3"/>
  <c r="K10" i="3"/>
  <c r="K11" i="3"/>
  <c r="K12" i="3"/>
  <c r="K13" i="3"/>
  <c r="K17" i="3" s="1"/>
  <c r="K14" i="3"/>
  <c r="M14" i="3" s="1"/>
  <c r="K15" i="3"/>
  <c r="K16" i="3"/>
  <c r="K7" i="3"/>
  <c r="H17" i="3"/>
  <c r="H8" i="3"/>
  <c r="J8" i="3" s="1"/>
  <c r="H9" i="3"/>
  <c r="H10" i="3"/>
  <c r="H11" i="3"/>
  <c r="H12" i="3"/>
  <c r="H13" i="3"/>
  <c r="H14" i="3"/>
  <c r="H15" i="3"/>
  <c r="H16" i="3"/>
  <c r="J16" i="3" s="1"/>
  <c r="H7" i="3"/>
  <c r="E8" i="3"/>
  <c r="E9" i="3"/>
  <c r="E10" i="3"/>
  <c r="E11" i="3"/>
  <c r="E12" i="3"/>
  <c r="G12" i="3" s="1"/>
  <c r="E13" i="3"/>
  <c r="E14" i="3"/>
  <c r="E15" i="3"/>
  <c r="G15" i="3" s="1"/>
  <c r="E16" i="3"/>
  <c r="E7" i="3"/>
  <c r="B8" i="3"/>
  <c r="D8" i="3" s="1"/>
  <c r="B9" i="3"/>
  <c r="Q9" i="3" s="1"/>
  <c r="B10" i="3"/>
  <c r="D10" i="3" s="1"/>
  <c r="B11" i="3"/>
  <c r="D11" i="3" s="1"/>
  <c r="B12" i="3"/>
  <c r="B13" i="3"/>
  <c r="B14" i="3"/>
  <c r="B15" i="3"/>
  <c r="D15" i="3" s="1"/>
  <c r="B16" i="3"/>
  <c r="B7" i="3"/>
  <c r="O17" i="3"/>
  <c r="L17" i="3"/>
  <c r="I17" i="3"/>
  <c r="F17" i="3"/>
  <c r="C17" i="3"/>
  <c r="R17" i="3" s="1"/>
  <c r="R16" i="3"/>
  <c r="Q16" i="3"/>
  <c r="P16" i="3"/>
  <c r="M16" i="3"/>
  <c r="G16" i="3"/>
  <c r="D16" i="3"/>
  <c r="R15" i="3"/>
  <c r="M15" i="3"/>
  <c r="J15" i="3"/>
  <c r="R14" i="3"/>
  <c r="P14" i="3"/>
  <c r="J14" i="3"/>
  <c r="G14" i="3"/>
  <c r="D14" i="3"/>
  <c r="R13" i="3"/>
  <c r="M13" i="3"/>
  <c r="J13" i="3"/>
  <c r="G13" i="3"/>
  <c r="D13" i="3"/>
  <c r="R12" i="3"/>
  <c r="M12" i="3"/>
  <c r="J12" i="3"/>
  <c r="D12" i="3"/>
  <c r="R11" i="3"/>
  <c r="P11" i="3"/>
  <c r="M11" i="3"/>
  <c r="J11" i="3"/>
  <c r="G11" i="3"/>
  <c r="R10" i="3"/>
  <c r="M10" i="3"/>
  <c r="J10" i="3"/>
  <c r="G10" i="3"/>
  <c r="R9" i="3"/>
  <c r="M9" i="3"/>
  <c r="J9" i="3"/>
  <c r="G9" i="3"/>
  <c r="R8" i="3"/>
  <c r="P8" i="3"/>
  <c r="M8" i="3"/>
  <c r="G8" i="3"/>
  <c r="R7" i="3"/>
  <c r="M7" i="3"/>
  <c r="J7" i="3"/>
  <c r="G7" i="3"/>
  <c r="D7" i="3"/>
  <c r="P8" i="1"/>
  <c r="P9" i="1"/>
  <c r="P10" i="1"/>
  <c r="P11" i="1"/>
  <c r="P12" i="1"/>
  <c r="P13" i="1"/>
  <c r="P14" i="1"/>
  <c r="P15" i="1"/>
  <c r="P16" i="1"/>
  <c r="P7" i="1"/>
  <c r="M8" i="1"/>
  <c r="M9" i="1"/>
  <c r="M10" i="1"/>
  <c r="M11" i="1"/>
  <c r="M12" i="1"/>
  <c r="M13" i="1"/>
  <c r="M14" i="1"/>
  <c r="M15" i="1"/>
  <c r="M16" i="1"/>
  <c r="M7" i="1"/>
  <c r="J8" i="1"/>
  <c r="J9" i="1"/>
  <c r="J10" i="1"/>
  <c r="J11" i="1"/>
  <c r="J12" i="1"/>
  <c r="J13" i="1"/>
  <c r="J14" i="1"/>
  <c r="J15" i="1"/>
  <c r="J16" i="1"/>
  <c r="J7" i="1"/>
  <c r="G8" i="1"/>
  <c r="G9" i="1"/>
  <c r="G10" i="1"/>
  <c r="G11" i="1"/>
  <c r="G12" i="1"/>
  <c r="G13" i="1"/>
  <c r="G14" i="1"/>
  <c r="G15" i="1"/>
  <c r="G16" i="1"/>
  <c r="G7" i="1"/>
  <c r="D8" i="1"/>
  <c r="D9" i="1"/>
  <c r="D10" i="1"/>
  <c r="D11" i="1"/>
  <c r="D12" i="1"/>
  <c r="D13" i="1"/>
  <c r="D14" i="1"/>
  <c r="D15" i="1"/>
  <c r="D16" i="1"/>
  <c r="D7" i="1"/>
  <c r="S16" i="3" l="1"/>
  <c r="S13" i="3"/>
  <c r="S10" i="3"/>
  <c r="P12" i="3"/>
  <c r="Q14" i="3"/>
  <c r="S14" i="3" s="1"/>
  <c r="P13" i="3"/>
  <c r="P10" i="3"/>
  <c r="Q15" i="3"/>
  <c r="N17" i="3"/>
  <c r="P7" i="3"/>
  <c r="M17" i="3"/>
  <c r="J17" i="3"/>
  <c r="G17" i="3"/>
  <c r="E17" i="3"/>
  <c r="S12" i="3"/>
  <c r="S15" i="3"/>
  <c r="S9" i="3"/>
  <c r="B17" i="3"/>
  <c r="Q8" i="3"/>
  <c r="S8" i="3" s="1"/>
  <c r="Q11" i="3"/>
  <c r="S11" i="3" s="1"/>
  <c r="D9" i="3"/>
  <c r="D17" i="3"/>
  <c r="S7" i="3"/>
  <c r="C17" i="1"/>
  <c r="O17" i="1"/>
  <c r="P17" i="3" l="1"/>
  <c r="Q17" i="3"/>
  <c r="S17" i="3" s="1"/>
  <c r="D17" i="1"/>
  <c r="N17" i="1" l="1"/>
  <c r="B17" i="1"/>
  <c r="R8" i="1" l="1"/>
  <c r="R9" i="1"/>
  <c r="R10" i="1"/>
  <c r="R11" i="1"/>
  <c r="R12" i="1"/>
  <c r="R13" i="1"/>
  <c r="R14" i="1"/>
  <c r="R15" i="1"/>
  <c r="R16" i="1"/>
  <c r="R7" i="1"/>
  <c r="L17" i="1" l="1"/>
  <c r="I17" i="1"/>
  <c r="F17" i="1"/>
  <c r="R17" i="1" l="1"/>
  <c r="Q10" i="1" l="1"/>
  <c r="S10" i="1" s="1"/>
  <c r="J17" i="1"/>
  <c r="Q16" i="1"/>
  <c r="S16" i="1" s="1"/>
  <c r="Q15" i="1"/>
  <c r="S15" i="1" s="1"/>
  <c r="Q7" i="1"/>
  <c r="Q9" i="1"/>
  <c r="S9" i="1" s="1"/>
  <c r="Q11" i="1"/>
  <c r="S11" i="1" s="1"/>
  <c r="K17" i="1"/>
  <c r="Q13" i="1"/>
  <c r="S13" i="1" s="1"/>
  <c r="Q14" i="1"/>
  <c r="S14" i="1" s="1"/>
  <c r="E17" i="1"/>
  <c r="Q8" i="1"/>
  <c r="S8" i="1" s="1"/>
  <c r="Q12" i="1"/>
  <c r="S12" i="1" s="1"/>
  <c r="P17" i="1"/>
  <c r="Q17" i="1" l="1"/>
  <c r="S17" i="1" s="1"/>
  <c r="S7" i="1"/>
  <c r="G17" i="1"/>
  <c r="M17" i="1"/>
</calcChain>
</file>

<file path=xl/sharedStrings.xml><?xml version="1.0" encoding="utf-8"?>
<sst xmlns="http://schemas.openxmlformats.org/spreadsheetml/2006/main" count="64" uniqueCount="23">
  <si>
    <t>장   서   현   황</t>
    <phoneticPr fontId="4" type="noConversion"/>
  </si>
  <si>
    <r>
      <t xml:space="preserve">  </t>
    </r>
    <r>
      <rPr>
        <b/>
        <sz val="10"/>
        <rFont val="돋움"/>
        <family val="3"/>
        <charset val="129"/>
      </rPr>
      <t>구분
류별</t>
    </r>
    <phoneticPr fontId="4" type="noConversion"/>
  </si>
  <si>
    <t>종합자료실</t>
    <phoneticPr fontId="4" type="noConversion"/>
  </si>
  <si>
    <t>참 고 실</t>
    <phoneticPr fontId="4" type="noConversion"/>
  </si>
  <si>
    <t>향 토 자 료</t>
    <phoneticPr fontId="4" type="noConversion"/>
  </si>
  <si>
    <t>다문화자료실</t>
    <phoneticPr fontId="4" type="noConversion"/>
  </si>
  <si>
    <t>어린이자료실</t>
    <phoneticPr fontId="4" type="noConversion"/>
  </si>
  <si>
    <t>합    계</t>
    <phoneticPr fontId="4" type="noConversion"/>
  </si>
  <si>
    <t>보유수</t>
    <phoneticPr fontId="4" type="noConversion"/>
  </si>
  <si>
    <t>계</t>
    <phoneticPr fontId="4" type="noConversion"/>
  </si>
  <si>
    <t>계</t>
    <phoneticPr fontId="4" type="noConversion"/>
  </si>
  <si>
    <t>보유수</t>
    <phoneticPr fontId="4" type="noConversion"/>
  </si>
  <si>
    <t>000</t>
    <phoneticPr fontId="4" type="noConversion"/>
  </si>
  <si>
    <t>900</t>
    <phoneticPr fontId="4" type="noConversion"/>
  </si>
  <si>
    <t>합계</t>
    <phoneticPr fontId="4" type="noConversion"/>
  </si>
  <si>
    <t>비고</t>
    <phoneticPr fontId="4" type="noConversion"/>
  </si>
  <si>
    <t>증감</t>
    <phoneticPr fontId="3" type="noConversion"/>
  </si>
  <si>
    <t>증감</t>
    <phoneticPr fontId="4" type="noConversion"/>
  </si>
  <si>
    <t>증감</t>
    <phoneticPr fontId="4" type="noConversion"/>
  </si>
  <si>
    <t>* 1차 희망도서: EM195052-EM195078(27권)
* 2차 희망도서: EM195079-EM195111(33권)</t>
    <phoneticPr fontId="3" type="noConversion"/>
  </si>
  <si>
    <t>2026년  1월  29일  현재</t>
    <phoneticPr fontId="4" type="noConversion"/>
  </si>
  <si>
    <r>
      <t xml:space="preserve">* 향토자료(U) 통계 수정: 종합자료실 </t>
    </r>
    <r>
      <rPr>
        <b/>
        <sz val="11"/>
        <rFont val="맑은 고딕"/>
        <family val="3"/>
        <charset val="129"/>
      </rPr>
      <t>→</t>
    </r>
    <r>
      <rPr>
        <b/>
        <sz val="11"/>
        <rFont val="돋움"/>
        <family val="3"/>
        <charset val="129"/>
      </rPr>
      <t xml:space="preserve"> 향토자료</t>
    </r>
    <phoneticPr fontId="3" type="noConversion"/>
  </si>
  <si>
    <t>장   서   현   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</si>
</sst>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#,##0;[Red]#,##0"/>
    <numFmt numFmtId="177" formatCode="0_);[Red]\(0\)"/>
    <numFmt numFmtId="178" formatCode="#,##0_ "/>
    <numFmt numFmtId="179" formatCode="0_ ;[Red]\-0\ 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26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26"/>
      <name val="HY신명조"/>
      <family val="1"/>
      <charset val="129"/>
    </font>
    <font>
      <sz val="12"/>
      <name val="돋움"/>
      <family val="3"/>
      <charset val="129"/>
    </font>
    <font>
      <b/>
      <sz val="14"/>
      <name val="돋움"/>
      <family val="3"/>
      <charset val="129"/>
    </font>
    <font>
      <b/>
      <sz val="11"/>
      <name val="돋움"/>
      <family val="3"/>
      <charset val="129"/>
    </font>
    <font>
      <b/>
      <sz val="10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11"/>
      <color rgb="FF0000FF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C5D9F1"/>
        <bgColor rgb="FF000000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 diagonalDown="1">
      <left style="medium">
        <color indexed="64"/>
      </left>
      <right style="thin">
        <color indexed="64"/>
      </right>
      <top/>
      <bottom style="hair">
        <color indexed="64"/>
      </bottom>
      <diagonal style="thin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176" fontId="1" fillId="3" borderId="0" xfId="1" applyNumberFormat="1" applyFill="1">
      <alignment vertical="center"/>
    </xf>
    <xf numFmtId="176" fontId="1" fillId="2" borderId="0" xfId="1" applyNumberFormat="1" applyFill="1">
      <alignment vertical="center"/>
    </xf>
    <xf numFmtId="176" fontId="5" fillId="2" borderId="0" xfId="1" applyNumberFormat="1" applyFont="1" applyFill="1" applyAlignment="1">
      <alignment horizontal="left" vertical="center"/>
    </xf>
    <xf numFmtId="176" fontId="6" fillId="2" borderId="0" xfId="1" applyNumberFormat="1" applyFont="1" applyFill="1" applyAlignment="1">
      <alignment vertical="center" textRotation="255"/>
    </xf>
    <xf numFmtId="176" fontId="1" fillId="2" borderId="0" xfId="1" applyNumberFormat="1" applyFill="1" applyAlignment="1">
      <alignment vertical="center" wrapText="1"/>
    </xf>
    <xf numFmtId="176" fontId="1" fillId="3" borderId="0" xfId="1" applyNumberFormat="1" applyFill="1" applyBorder="1" applyAlignment="1">
      <alignment horizontal="center"/>
    </xf>
    <xf numFmtId="176" fontId="1" fillId="3" borderId="0" xfId="1" applyNumberFormat="1" applyFill="1" applyAlignment="1">
      <alignment horizontal="center"/>
    </xf>
    <xf numFmtId="176" fontId="8" fillId="2" borderId="13" xfId="1" applyNumberFormat="1" applyFont="1" applyFill="1" applyBorder="1" applyAlignment="1">
      <alignment horizontal="center" vertical="center"/>
    </xf>
    <xf numFmtId="176" fontId="8" fillId="4" borderId="14" xfId="1" applyNumberFormat="1" applyFont="1" applyFill="1" applyBorder="1" applyAlignment="1">
      <alignment horizontal="center" vertical="center"/>
    </xf>
    <xf numFmtId="176" fontId="8" fillId="2" borderId="15" xfId="1" applyNumberFormat="1" applyFont="1" applyFill="1" applyBorder="1" applyAlignment="1">
      <alignment horizontal="center" vertical="center"/>
    </xf>
    <xf numFmtId="176" fontId="8" fillId="2" borderId="16" xfId="1" applyNumberFormat="1" applyFont="1" applyFill="1" applyBorder="1" applyAlignment="1">
      <alignment horizontal="center" vertical="center"/>
    </xf>
    <xf numFmtId="176" fontId="8" fillId="4" borderId="17" xfId="1" applyNumberFormat="1" applyFont="1" applyFill="1" applyBorder="1" applyAlignment="1">
      <alignment horizontal="center" vertical="center"/>
    </xf>
    <xf numFmtId="176" fontId="8" fillId="2" borderId="18" xfId="1" applyNumberFormat="1" applyFont="1" applyFill="1" applyBorder="1" applyAlignment="1">
      <alignment horizontal="center" vertical="center"/>
    </xf>
    <xf numFmtId="176" fontId="8" fillId="2" borderId="14" xfId="1" applyNumberFormat="1" applyFont="1" applyFill="1" applyBorder="1" applyAlignment="1">
      <alignment horizontal="center" vertical="center"/>
    </xf>
    <xf numFmtId="176" fontId="8" fillId="2" borderId="19" xfId="1" applyNumberFormat="1" applyFont="1" applyFill="1" applyBorder="1" applyAlignment="1">
      <alignment horizontal="center" vertical="center"/>
    </xf>
    <xf numFmtId="176" fontId="8" fillId="4" borderId="19" xfId="1" applyNumberFormat="1" applyFont="1" applyFill="1" applyBorder="1" applyAlignment="1">
      <alignment horizontal="center" vertical="center"/>
    </xf>
    <xf numFmtId="176" fontId="8" fillId="2" borderId="20" xfId="1" applyNumberFormat="1" applyFont="1" applyFill="1" applyBorder="1" applyAlignment="1">
      <alignment horizontal="center" vertical="center"/>
    </xf>
    <xf numFmtId="176" fontId="8" fillId="2" borderId="21" xfId="1" applyNumberFormat="1" applyFont="1" applyFill="1" applyBorder="1" applyAlignment="1">
      <alignment horizontal="center" vertical="center"/>
    </xf>
    <xf numFmtId="176" fontId="8" fillId="2" borderId="13" xfId="2" applyNumberFormat="1" applyFont="1" applyFill="1" applyBorder="1" applyAlignment="1">
      <alignment horizontal="center" vertical="center"/>
    </xf>
    <xf numFmtId="177" fontId="10" fillId="4" borderId="22" xfId="2" applyNumberFormat="1" applyFont="1" applyFill="1" applyBorder="1" applyAlignment="1">
      <alignment horizontal="center" vertical="center"/>
    </xf>
    <xf numFmtId="176" fontId="8" fillId="2" borderId="23" xfId="1" applyNumberFormat="1" applyFont="1" applyFill="1" applyBorder="1" applyAlignment="1">
      <alignment horizontal="center" vertical="center"/>
    </xf>
    <xf numFmtId="176" fontId="8" fillId="2" borderId="24" xfId="1" applyNumberFormat="1" applyFont="1" applyFill="1" applyBorder="1" applyAlignment="1">
      <alignment horizontal="center" vertical="center"/>
    </xf>
    <xf numFmtId="177" fontId="10" fillId="4" borderId="25" xfId="1" applyNumberFormat="1" applyFont="1" applyFill="1" applyBorder="1" applyAlignment="1">
      <alignment horizontal="center" vertical="center"/>
    </xf>
    <xf numFmtId="176" fontId="11" fillId="2" borderId="27" xfId="1" applyNumberFormat="1" applyFont="1" applyFill="1" applyBorder="1" applyAlignment="1">
      <alignment horizontal="center" vertical="center"/>
    </xf>
    <xf numFmtId="176" fontId="8" fillId="2" borderId="0" xfId="1" applyNumberFormat="1" applyFont="1" applyFill="1" applyBorder="1" applyAlignment="1">
      <alignment horizontal="center" vertical="center"/>
    </xf>
    <xf numFmtId="176" fontId="8" fillId="2" borderId="28" xfId="1" applyNumberFormat="1" applyFont="1" applyFill="1" applyBorder="1" applyAlignment="1">
      <alignment horizontal="center" vertical="center"/>
    </xf>
    <xf numFmtId="176" fontId="8" fillId="2" borderId="15" xfId="2" applyNumberFormat="1" applyFont="1" applyFill="1" applyBorder="1" applyAlignment="1">
      <alignment horizontal="center" vertical="center"/>
    </xf>
    <xf numFmtId="176" fontId="8" fillId="2" borderId="17" xfId="2" applyNumberFormat="1" applyFont="1" applyFill="1" applyBorder="1" applyAlignment="1">
      <alignment horizontal="center" vertical="center"/>
    </xf>
    <xf numFmtId="0" fontId="1" fillId="0" borderId="0" xfId="1">
      <alignment vertical="center"/>
    </xf>
    <xf numFmtId="9" fontId="1" fillId="0" borderId="0" xfId="3" applyAlignment="1">
      <alignment horizontal="left" vertical="center" indent="1"/>
    </xf>
    <xf numFmtId="178" fontId="1" fillId="0" borderId="0" xfId="1" applyNumberFormat="1">
      <alignment vertical="center"/>
    </xf>
    <xf numFmtId="179" fontId="10" fillId="4" borderId="22" xfId="2" applyNumberFormat="1" applyFont="1" applyFill="1" applyBorder="1" applyAlignment="1">
      <alignment horizontal="center" vertical="center"/>
    </xf>
    <xf numFmtId="179" fontId="10" fillId="4" borderId="14" xfId="2" applyNumberFormat="1" applyFont="1" applyFill="1" applyBorder="1" applyAlignment="1">
      <alignment horizontal="center" vertical="center"/>
    </xf>
    <xf numFmtId="179" fontId="10" fillId="4" borderId="26" xfId="2" applyNumberFormat="1" applyFont="1" applyFill="1" applyBorder="1" applyAlignment="1">
      <alignment horizontal="center" vertical="center" shrinkToFit="1"/>
    </xf>
    <xf numFmtId="179" fontId="10" fillId="4" borderId="22" xfId="2" applyNumberFormat="1" applyFont="1" applyFill="1" applyBorder="1" applyAlignment="1">
      <alignment horizontal="center" vertical="center" shrinkToFit="1"/>
    </xf>
    <xf numFmtId="177" fontId="10" fillId="4" borderId="17" xfId="2" applyNumberFormat="1" applyFont="1" applyFill="1" applyBorder="1" applyAlignment="1">
      <alignment horizontal="center" vertical="center"/>
    </xf>
    <xf numFmtId="179" fontId="10" fillId="4" borderId="17" xfId="2" applyNumberFormat="1" applyFont="1" applyFill="1" applyBorder="1" applyAlignment="1">
      <alignment horizontal="center" vertical="center"/>
    </xf>
    <xf numFmtId="178" fontId="10" fillId="4" borderId="17" xfId="6" applyNumberFormat="1" applyFont="1" applyFill="1" applyBorder="1" applyAlignment="1">
      <alignment horizontal="center" vertical="center"/>
    </xf>
    <xf numFmtId="178" fontId="10" fillId="4" borderId="26" xfId="6" applyNumberFormat="1" applyFont="1" applyFill="1" applyBorder="1" applyAlignment="1">
      <alignment horizontal="center" vertical="center" shrinkToFit="1"/>
    </xf>
    <xf numFmtId="176" fontId="8" fillId="2" borderId="29" xfId="1" applyNumberFormat="1" applyFont="1" applyFill="1" applyBorder="1" applyAlignment="1">
      <alignment horizontal="center" vertical="center" wrapText="1"/>
    </xf>
    <xf numFmtId="176" fontId="8" fillId="2" borderId="34" xfId="1" applyNumberFormat="1" applyFont="1" applyFill="1" applyBorder="1" applyAlignment="1">
      <alignment horizontal="center" vertical="center" wrapText="1"/>
    </xf>
    <xf numFmtId="176" fontId="8" fillId="2" borderId="30" xfId="1" applyNumberFormat="1" applyFont="1" applyFill="1" applyBorder="1" applyAlignment="1">
      <alignment horizontal="left" vertical="center" wrapText="1"/>
    </xf>
    <xf numFmtId="176" fontId="8" fillId="2" borderId="31" xfId="1" applyNumberFormat="1" applyFont="1" applyFill="1" applyBorder="1" applyAlignment="1">
      <alignment horizontal="left" vertical="center" wrapText="1"/>
    </xf>
    <xf numFmtId="176" fontId="8" fillId="2" borderId="32" xfId="1" applyNumberFormat="1" applyFont="1" applyFill="1" applyBorder="1" applyAlignment="1">
      <alignment horizontal="left" vertical="center" wrapText="1"/>
    </xf>
    <xf numFmtId="176" fontId="8" fillId="2" borderId="35" xfId="1" applyNumberFormat="1" applyFont="1" applyFill="1" applyBorder="1" applyAlignment="1">
      <alignment horizontal="left" vertical="center" wrapText="1"/>
    </xf>
    <xf numFmtId="176" fontId="8" fillId="2" borderId="1" xfId="1" applyNumberFormat="1" applyFont="1" applyFill="1" applyBorder="1" applyAlignment="1">
      <alignment horizontal="left" vertical="center" wrapText="1"/>
    </xf>
    <xf numFmtId="176" fontId="8" fillId="2" borderId="36" xfId="1" applyNumberFormat="1" applyFont="1" applyFill="1" applyBorder="1" applyAlignment="1">
      <alignment horizontal="left" vertical="center" wrapText="1"/>
    </xf>
    <xf numFmtId="176" fontId="8" fillId="2" borderId="30" xfId="1" applyNumberFormat="1" applyFont="1" applyFill="1" applyBorder="1" applyAlignment="1">
      <alignment horizontal="left" vertical="center" wrapText="1" shrinkToFit="1"/>
    </xf>
    <xf numFmtId="176" fontId="8" fillId="2" borderId="31" xfId="1" applyNumberFormat="1" applyFont="1" applyFill="1" applyBorder="1" applyAlignment="1">
      <alignment horizontal="left" vertical="center" shrinkToFit="1"/>
    </xf>
    <xf numFmtId="176" fontId="8" fillId="2" borderId="33" xfId="1" applyNumberFormat="1" applyFont="1" applyFill="1" applyBorder="1" applyAlignment="1">
      <alignment horizontal="left" vertical="center" shrinkToFit="1"/>
    </xf>
    <xf numFmtId="176" fontId="8" fillId="2" borderId="35" xfId="1" applyNumberFormat="1" applyFont="1" applyFill="1" applyBorder="1" applyAlignment="1">
      <alignment horizontal="left" vertical="center" shrinkToFit="1"/>
    </xf>
    <xf numFmtId="176" fontId="8" fillId="2" borderId="1" xfId="1" applyNumberFormat="1" applyFont="1" applyFill="1" applyBorder="1" applyAlignment="1">
      <alignment horizontal="left" vertical="center" shrinkToFit="1"/>
    </xf>
    <xf numFmtId="176" fontId="8" fillId="2" borderId="37" xfId="1" applyNumberFormat="1" applyFont="1" applyFill="1" applyBorder="1" applyAlignment="1">
      <alignment horizontal="left" vertical="center" shrinkToFit="1"/>
    </xf>
    <xf numFmtId="176" fontId="2" fillId="2" borderId="0" xfId="1" applyNumberFormat="1" applyFont="1" applyFill="1" applyAlignment="1">
      <alignment horizontal="center" vertical="center"/>
    </xf>
    <xf numFmtId="176" fontId="7" fillId="2" borderId="1" xfId="1" applyNumberFormat="1" applyFont="1" applyFill="1" applyBorder="1" applyAlignment="1">
      <alignment horizontal="center" vertical="center"/>
    </xf>
    <xf numFmtId="176" fontId="8" fillId="2" borderId="2" xfId="1" applyNumberFormat="1" applyFont="1" applyFill="1" applyBorder="1" applyAlignment="1">
      <alignment horizontal="left" vertical="center" wrapText="1"/>
    </xf>
    <xf numFmtId="176" fontId="8" fillId="2" borderId="12" xfId="1" applyNumberFormat="1" applyFont="1" applyFill="1" applyBorder="1" applyAlignment="1">
      <alignment horizontal="left" vertical="center"/>
    </xf>
    <xf numFmtId="176" fontId="8" fillId="2" borderId="3" xfId="1" applyNumberFormat="1" applyFont="1" applyFill="1" applyBorder="1" applyAlignment="1">
      <alignment horizontal="center" vertical="center"/>
    </xf>
    <xf numFmtId="176" fontId="8" fillId="2" borderId="4" xfId="1" applyNumberFormat="1" applyFont="1" applyFill="1" applyBorder="1" applyAlignment="1">
      <alignment horizontal="center" vertical="center"/>
    </xf>
    <xf numFmtId="176" fontId="8" fillId="2" borderId="5" xfId="1" applyNumberFormat="1" applyFont="1" applyFill="1" applyBorder="1" applyAlignment="1">
      <alignment horizontal="center" vertical="center"/>
    </xf>
    <xf numFmtId="176" fontId="8" fillId="2" borderId="6" xfId="1" applyNumberFormat="1" applyFont="1" applyFill="1" applyBorder="1" applyAlignment="1">
      <alignment horizontal="center" vertical="center"/>
    </xf>
    <xf numFmtId="176" fontId="8" fillId="2" borderId="7" xfId="1" applyNumberFormat="1" applyFont="1" applyFill="1" applyBorder="1" applyAlignment="1">
      <alignment horizontal="center" vertical="center"/>
    </xf>
    <xf numFmtId="176" fontId="8" fillId="2" borderId="8" xfId="1" applyNumberFormat="1" applyFont="1" applyFill="1" applyBorder="1" applyAlignment="1">
      <alignment horizontal="center" vertical="center"/>
    </xf>
    <xf numFmtId="176" fontId="8" fillId="2" borderId="9" xfId="1" applyNumberFormat="1" applyFont="1" applyFill="1" applyBorder="1" applyAlignment="1">
      <alignment horizontal="center" vertical="center"/>
    </xf>
    <xf numFmtId="176" fontId="8" fillId="2" borderId="10" xfId="1" applyNumberFormat="1" applyFont="1" applyFill="1" applyBorder="1" applyAlignment="1">
      <alignment horizontal="center" vertical="center"/>
    </xf>
    <xf numFmtId="176" fontId="8" fillId="2" borderId="11" xfId="1" applyNumberFormat="1" applyFont="1" applyFill="1" applyBorder="1" applyAlignment="1">
      <alignment horizontal="center" vertical="center"/>
    </xf>
  </cellXfs>
  <cellStyles count="7">
    <cellStyle name="백분율 2" xfId="3"/>
    <cellStyle name="쉼표 [0]" xfId="6" builtinId="6"/>
    <cellStyle name="쉼표 [0] 2" xfId="2"/>
    <cellStyle name="쉼표 [0] 3" xfId="5"/>
    <cellStyle name="표준" xfId="0" builtinId="0"/>
    <cellStyle name="표준 2" xfId="1"/>
    <cellStyle name="표준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zoomScaleNormal="100" workbookViewId="0">
      <selection sqref="A1:S2"/>
    </sheetView>
  </sheetViews>
  <sheetFormatPr defaultRowHeight="13.5" x14ac:dyDescent="0.3"/>
  <cols>
    <col min="1" max="1" width="6" style="29" customWidth="1"/>
    <col min="2" max="2" width="8.125" style="29" customWidth="1"/>
    <col min="3" max="3" width="7.5" style="29" customWidth="1"/>
    <col min="4" max="4" width="8.75" style="29" customWidth="1"/>
    <col min="5" max="5" width="6.125" style="29" customWidth="1"/>
    <col min="6" max="6" width="5.125" style="29" customWidth="1"/>
    <col min="7" max="7" width="6.125" style="29" customWidth="1"/>
    <col min="8" max="8" width="5.75" style="29" customWidth="1"/>
    <col min="9" max="9" width="5.625" style="29" customWidth="1"/>
    <col min="10" max="10" width="6.125" style="29" customWidth="1"/>
    <col min="11" max="11" width="7.125" style="29" customWidth="1"/>
    <col min="12" max="12" width="5.5" style="29" customWidth="1"/>
    <col min="13" max="13" width="7.375" style="29" customWidth="1"/>
    <col min="14" max="14" width="8.125" style="29" customWidth="1"/>
    <col min="15" max="15" width="8.25" style="29" customWidth="1"/>
    <col min="16" max="16" width="8.125" style="29" customWidth="1"/>
    <col min="17" max="17" width="10.125" style="29" customWidth="1"/>
    <col min="18" max="18" width="7.875" style="29" customWidth="1"/>
    <col min="19" max="19" width="11.625" style="29" customWidth="1"/>
    <col min="20" max="22" width="9.125" style="29" bestFit="1" customWidth="1"/>
    <col min="23" max="23" width="9.75" style="29" bestFit="1" customWidth="1"/>
    <col min="24" max="16384" width="9" style="29"/>
  </cols>
  <sheetData>
    <row r="1" spans="1:21" s="1" customFormat="1" ht="8.25" customHeight="1" x14ac:dyDescent="0.3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21" s="1" customFormat="1" ht="49.5" customHeigh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1" s="1" customFormat="1" ht="7.5" customHeight="1" x14ac:dyDescent="0.3">
      <c r="A3" s="2"/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2"/>
      <c r="R3" s="5"/>
      <c r="S3" s="3"/>
    </row>
    <row r="4" spans="1:21" s="1" customFormat="1" ht="27" customHeight="1" thickBot="1" x14ac:dyDescent="0.35">
      <c r="A4" s="55" t="s">
        <v>20</v>
      </c>
      <c r="B4" s="55"/>
      <c r="C4" s="55"/>
      <c r="D4" s="55"/>
      <c r="E4" s="5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1" s="7" customFormat="1" ht="25.5" customHeight="1" x14ac:dyDescent="0.15">
      <c r="A5" s="56" t="s">
        <v>1</v>
      </c>
      <c r="B5" s="58" t="s">
        <v>2</v>
      </c>
      <c r="C5" s="59"/>
      <c r="D5" s="60"/>
      <c r="E5" s="58" t="s">
        <v>3</v>
      </c>
      <c r="F5" s="59"/>
      <c r="G5" s="61"/>
      <c r="H5" s="62" t="s">
        <v>4</v>
      </c>
      <c r="I5" s="63"/>
      <c r="J5" s="64"/>
      <c r="K5" s="58" t="s">
        <v>5</v>
      </c>
      <c r="L5" s="59"/>
      <c r="M5" s="59"/>
      <c r="N5" s="58" t="s">
        <v>6</v>
      </c>
      <c r="O5" s="59"/>
      <c r="P5" s="60"/>
      <c r="Q5" s="65" t="s">
        <v>7</v>
      </c>
      <c r="R5" s="65"/>
      <c r="S5" s="66"/>
      <c r="T5" s="6"/>
      <c r="U5" s="6"/>
    </row>
    <row r="6" spans="1:21" s="7" customFormat="1" ht="26.25" customHeight="1" x14ac:dyDescent="0.15">
      <c r="A6" s="57"/>
      <c r="B6" s="8" t="s">
        <v>8</v>
      </c>
      <c r="C6" s="9" t="s">
        <v>16</v>
      </c>
      <c r="D6" s="10" t="s">
        <v>9</v>
      </c>
      <c r="E6" s="8" t="s">
        <v>8</v>
      </c>
      <c r="F6" s="9" t="s">
        <v>18</v>
      </c>
      <c r="G6" s="11" t="s">
        <v>10</v>
      </c>
      <c r="H6" s="8" t="s">
        <v>8</v>
      </c>
      <c r="I6" s="12" t="s">
        <v>17</v>
      </c>
      <c r="J6" s="13" t="s">
        <v>10</v>
      </c>
      <c r="K6" s="8" t="s">
        <v>8</v>
      </c>
      <c r="L6" s="9" t="s">
        <v>17</v>
      </c>
      <c r="M6" s="14" t="s">
        <v>10</v>
      </c>
      <c r="N6" s="8" t="s">
        <v>11</v>
      </c>
      <c r="O6" s="9" t="s">
        <v>17</v>
      </c>
      <c r="P6" s="10" t="s">
        <v>10</v>
      </c>
      <c r="Q6" s="15" t="s">
        <v>8</v>
      </c>
      <c r="R6" s="16" t="s">
        <v>17</v>
      </c>
      <c r="S6" s="17" t="s">
        <v>10</v>
      </c>
      <c r="T6" s="6"/>
      <c r="U6" s="6"/>
    </row>
    <row r="7" spans="1:21" s="7" customFormat="1" ht="30" customHeight="1" x14ac:dyDescent="0.15">
      <c r="A7" s="18" t="s">
        <v>12</v>
      </c>
      <c r="B7" s="19">
        <v>2531</v>
      </c>
      <c r="C7" s="35">
        <v>0</v>
      </c>
      <c r="D7" s="21">
        <f>B7+C7</f>
        <v>2531</v>
      </c>
      <c r="E7" s="19">
        <v>0</v>
      </c>
      <c r="F7" s="20">
        <v>0</v>
      </c>
      <c r="G7" s="22">
        <f>E7+F7</f>
        <v>0</v>
      </c>
      <c r="H7" s="19">
        <v>0</v>
      </c>
      <c r="I7" s="23">
        <v>0</v>
      </c>
      <c r="J7" s="22">
        <f>H7+I7</f>
        <v>0</v>
      </c>
      <c r="K7" s="19">
        <v>19</v>
      </c>
      <c r="L7" s="33">
        <v>0</v>
      </c>
      <c r="M7" s="22">
        <f>K7+L7</f>
        <v>19</v>
      </c>
      <c r="N7" s="19">
        <v>972</v>
      </c>
      <c r="O7" s="32">
        <v>0</v>
      </c>
      <c r="P7" s="21">
        <f>N7+O7</f>
        <v>972</v>
      </c>
      <c r="Q7" s="19">
        <f>B7+E7+H7+K7+N7</f>
        <v>3522</v>
      </c>
      <c r="R7" s="34">
        <f>C7+F7+I7+L7+O7</f>
        <v>0</v>
      </c>
      <c r="S7" s="24">
        <f>Q7+R7</f>
        <v>3522</v>
      </c>
      <c r="T7" s="25"/>
      <c r="U7" s="6"/>
    </row>
    <row r="8" spans="1:21" s="7" customFormat="1" ht="30" customHeight="1" x14ac:dyDescent="0.15">
      <c r="A8" s="26">
        <v>100</v>
      </c>
      <c r="B8" s="19">
        <v>5367</v>
      </c>
      <c r="C8" s="35">
        <v>0</v>
      </c>
      <c r="D8" s="21">
        <f t="shared" ref="D8:D16" si="0">B8+C8</f>
        <v>5367</v>
      </c>
      <c r="E8" s="19">
        <v>0</v>
      </c>
      <c r="F8" s="20">
        <v>0</v>
      </c>
      <c r="G8" s="22">
        <f t="shared" ref="G8:G16" si="1">E8+F8</f>
        <v>0</v>
      </c>
      <c r="H8" s="19">
        <v>0</v>
      </c>
      <c r="I8" s="23">
        <v>0</v>
      </c>
      <c r="J8" s="22">
        <f t="shared" ref="J8:J16" si="2">H8+I8</f>
        <v>0</v>
      </c>
      <c r="K8" s="19">
        <v>35</v>
      </c>
      <c r="L8" s="33">
        <v>0</v>
      </c>
      <c r="M8" s="22">
        <f t="shared" ref="M8:M16" si="3">K8+L8</f>
        <v>35</v>
      </c>
      <c r="N8" s="19">
        <v>985</v>
      </c>
      <c r="O8" s="32">
        <v>0</v>
      </c>
      <c r="P8" s="21">
        <f t="shared" ref="P8:P16" si="4">N8+O8</f>
        <v>985</v>
      </c>
      <c r="Q8" s="19">
        <f t="shared" ref="Q8:Q16" si="5">B8+E8+H8+K8+N8</f>
        <v>6387</v>
      </c>
      <c r="R8" s="34">
        <f t="shared" ref="R8:R16" si="6">C8+F8+I8+L8+O8</f>
        <v>0</v>
      </c>
      <c r="S8" s="24">
        <f t="shared" ref="S8:S16" si="7">Q8+R8</f>
        <v>6387</v>
      </c>
      <c r="T8" s="25"/>
      <c r="U8" s="6"/>
    </row>
    <row r="9" spans="1:21" s="7" customFormat="1" ht="30" customHeight="1" x14ac:dyDescent="0.15">
      <c r="A9" s="26">
        <v>200</v>
      </c>
      <c r="B9" s="19">
        <v>1896</v>
      </c>
      <c r="C9" s="35">
        <v>-3</v>
      </c>
      <c r="D9" s="21">
        <f t="shared" si="0"/>
        <v>1893</v>
      </c>
      <c r="E9" s="19">
        <v>0</v>
      </c>
      <c r="F9" s="20">
        <v>0</v>
      </c>
      <c r="G9" s="22">
        <f t="shared" si="1"/>
        <v>0</v>
      </c>
      <c r="H9" s="19">
        <v>0</v>
      </c>
      <c r="I9" s="23">
        <v>3</v>
      </c>
      <c r="J9" s="22">
        <f t="shared" si="2"/>
        <v>3</v>
      </c>
      <c r="K9" s="19">
        <v>19</v>
      </c>
      <c r="L9" s="33">
        <v>0</v>
      </c>
      <c r="M9" s="22">
        <f t="shared" si="3"/>
        <v>19</v>
      </c>
      <c r="N9" s="19">
        <v>485</v>
      </c>
      <c r="O9" s="32">
        <v>0</v>
      </c>
      <c r="P9" s="21">
        <f t="shared" si="4"/>
        <v>485</v>
      </c>
      <c r="Q9" s="19">
        <f t="shared" si="5"/>
        <v>2400</v>
      </c>
      <c r="R9" s="34">
        <f t="shared" si="6"/>
        <v>0</v>
      </c>
      <c r="S9" s="24">
        <f t="shared" si="7"/>
        <v>2400</v>
      </c>
      <c r="T9" s="25"/>
      <c r="U9" s="6"/>
    </row>
    <row r="10" spans="1:21" s="7" customFormat="1" ht="30" customHeight="1" x14ac:dyDescent="0.15">
      <c r="A10" s="26">
        <v>300</v>
      </c>
      <c r="B10" s="19">
        <v>11129</v>
      </c>
      <c r="C10" s="35">
        <v>-5</v>
      </c>
      <c r="D10" s="21">
        <f t="shared" si="0"/>
        <v>11124</v>
      </c>
      <c r="E10" s="19">
        <v>29</v>
      </c>
      <c r="F10" s="20">
        <v>0</v>
      </c>
      <c r="G10" s="22">
        <f t="shared" si="1"/>
        <v>29</v>
      </c>
      <c r="H10" s="19">
        <v>0</v>
      </c>
      <c r="I10" s="23">
        <v>5</v>
      </c>
      <c r="J10" s="22">
        <f t="shared" si="2"/>
        <v>5</v>
      </c>
      <c r="K10" s="19">
        <v>230</v>
      </c>
      <c r="L10" s="33">
        <v>0</v>
      </c>
      <c r="M10" s="22">
        <f t="shared" si="3"/>
        <v>230</v>
      </c>
      <c r="N10" s="19">
        <v>4409</v>
      </c>
      <c r="O10" s="32">
        <v>0</v>
      </c>
      <c r="P10" s="21">
        <f t="shared" si="4"/>
        <v>4409</v>
      </c>
      <c r="Q10" s="19">
        <f t="shared" si="5"/>
        <v>15797</v>
      </c>
      <c r="R10" s="34">
        <f t="shared" si="6"/>
        <v>0</v>
      </c>
      <c r="S10" s="24">
        <f t="shared" si="7"/>
        <v>15797</v>
      </c>
      <c r="T10" s="25"/>
      <c r="U10" s="6"/>
    </row>
    <row r="11" spans="1:21" s="7" customFormat="1" ht="30" customHeight="1" x14ac:dyDescent="0.15">
      <c r="A11" s="26">
        <v>400</v>
      </c>
      <c r="B11" s="19">
        <v>2841</v>
      </c>
      <c r="C11" s="35">
        <v>-3</v>
      </c>
      <c r="D11" s="21">
        <f t="shared" si="0"/>
        <v>2838</v>
      </c>
      <c r="E11" s="19">
        <v>7</v>
      </c>
      <c r="F11" s="20">
        <v>0</v>
      </c>
      <c r="G11" s="22">
        <f t="shared" si="1"/>
        <v>7</v>
      </c>
      <c r="H11" s="19">
        <v>2</v>
      </c>
      <c r="I11" s="23">
        <v>3</v>
      </c>
      <c r="J11" s="22">
        <f t="shared" si="2"/>
        <v>5</v>
      </c>
      <c r="K11" s="19">
        <v>137</v>
      </c>
      <c r="L11" s="33">
        <v>0</v>
      </c>
      <c r="M11" s="22">
        <f t="shared" si="3"/>
        <v>137</v>
      </c>
      <c r="N11" s="19">
        <v>5765</v>
      </c>
      <c r="O11" s="32">
        <v>0</v>
      </c>
      <c r="P11" s="21">
        <f t="shared" si="4"/>
        <v>5765</v>
      </c>
      <c r="Q11" s="19">
        <f t="shared" si="5"/>
        <v>8752</v>
      </c>
      <c r="R11" s="34">
        <f t="shared" si="6"/>
        <v>0</v>
      </c>
      <c r="S11" s="24">
        <f t="shared" si="7"/>
        <v>8752</v>
      </c>
      <c r="T11" s="25"/>
      <c r="U11" s="6"/>
    </row>
    <row r="12" spans="1:21" s="7" customFormat="1" ht="30" customHeight="1" x14ac:dyDescent="0.15">
      <c r="A12" s="26">
        <v>500</v>
      </c>
      <c r="B12" s="19">
        <v>7751</v>
      </c>
      <c r="C12" s="35">
        <v>-2</v>
      </c>
      <c r="D12" s="21">
        <f t="shared" si="0"/>
        <v>7749</v>
      </c>
      <c r="E12" s="19">
        <v>2</v>
      </c>
      <c r="F12" s="20">
        <v>0</v>
      </c>
      <c r="G12" s="22">
        <f t="shared" si="1"/>
        <v>2</v>
      </c>
      <c r="H12" s="19">
        <v>0</v>
      </c>
      <c r="I12" s="23">
        <v>2</v>
      </c>
      <c r="J12" s="22">
        <f t="shared" si="2"/>
        <v>2</v>
      </c>
      <c r="K12" s="19">
        <v>79</v>
      </c>
      <c r="L12" s="33">
        <v>0</v>
      </c>
      <c r="M12" s="22">
        <f t="shared" si="3"/>
        <v>79</v>
      </c>
      <c r="N12" s="19">
        <v>1568</v>
      </c>
      <c r="O12" s="32">
        <v>0</v>
      </c>
      <c r="P12" s="21">
        <f t="shared" si="4"/>
        <v>1568</v>
      </c>
      <c r="Q12" s="19">
        <f t="shared" si="5"/>
        <v>9400</v>
      </c>
      <c r="R12" s="34">
        <f t="shared" si="6"/>
        <v>0</v>
      </c>
      <c r="S12" s="24">
        <f t="shared" si="7"/>
        <v>9400</v>
      </c>
      <c r="T12" s="25"/>
      <c r="U12" s="6"/>
    </row>
    <row r="13" spans="1:21" s="7" customFormat="1" ht="30" customHeight="1" x14ac:dyDescent="0.15">
      <c r="A13" s="26">
        <v>600</v>
      </c>
      <c r="B13" s="19">
        <v>3528</v>
      </c>
      <c r="C13" s="35">
        <v>-6</v>
      </c>
      <c r="D13" s="21">
        <f t="shared" si="0"/>
        <v>3522</v>
      </c>
      <c r="E13" s="19">
        <v>11</v>
      </c>
      <c r="F13" s="20">
        <v>0</v>
      </c>
      <c r="G13" s="22">
        <f t="shared" si="1"/>
        <v>11</v>
      </c>
      <c r="H13" s="19">
        <v>2</v>
      </c>
      <c r="I13" s="23">
        <v>6</v>
      </c>
      <c r="J13" s="22">
        <f t="shared" si="2"/>
        <v>8</v>
      </c>
      <c r="K13" s="19">
        <v>32</v>
      </c>
      <c r="L13" s="33">
        <v>0</v>
      </c>
      <c r="M13" s="22">
        <f t="shared" si="3"/>
        <v>32</v>
      </c>
      <c r="N13" s="19">
        <v>1018</v>
      </c>
      <c r="O13" s="32">
        <v>0</v>
      </c>
      <c r="P13" s="21">
        <f t="shared" si="4"/>
        <v>1018</v>
      </c>
      <c r="Q13" s="19">
        <f t="shared" si="5"/>
        <v>4591</v>
      </c>
      <c r="R13" s="34">
        <f t="shared" si="6"/>
        <v>0</v>
      </c>
      <c r="S13" s="24">
        <f t="shared" si="7"/>
        <v>4591</v>
      </c>
      <c r="T13" s="25"/>
      <c r="U13" s="6"/>
    </row>
    <row r="14" spans="1:21" s="7" customFormat="1" ht="30" customHeight="1" x14ac:dyDescent="0.15">
      <c r="A14" s="26">
        <v>700</v>
      </c>
      <c r="B14" s="19">
        <v>2064</v>
      </c>
      <c r="C14" s="35">
        <v>-2</v>
      </c>
      <c r="D14" s="21">
        <f t="shared" si="0"/>
        <v>2062</v>
      </c>
      <c r="E14" s="19">
        <v>22</v>
      </c>
      <c r="F14" s="20">
        <v>0</v>
      </c>
      <c r="G14" s="22">
        <f t="shared" si="1"/>
        <v>22</v>
      </c>
      <c r="H14" s="19">
        <v>2</v>
      </c>
      <c r="I14" s="23">
        <v>2</v>
      </c>
      <c r="J14" s="22">
        <f t="shared" si="2"/>
        <v>4</v>
      </c>
      <c r="K14" s="19">
        <v>837</v>
      </c>
      <c r="L14" s="33">
        <v>0</v>
      </c>
      <c r="M14" s="22">
        <f t="shared" si="3"/>
        <v>837</v>
      </c>
      <c r="N14" s="19">
        <v>740</v>
      </c>
      <c r="O14" s="32">
        <v>0</v>
      </c>
      <c r="P14" s="21">
        <f t="shared" si="4"/>
        <v>740</v>
      </c>
      <c r="Q14" s="19">
        <f t="shared" si="5"/>
        <v>3665</v>
      </c>
      <c r="R14" s="34">
        <f t="shared" si="6"/>
        <v>0</v>
      </c>
      <c r="S14" s="24">
        <f t="shared" si="7"/>
        <v>3665</v>
      </c>
      <c r="T14" s="25"/>
      <c r="U14" s="6"/>
    </row>
    <row r="15" spans="1:21" s="7" customFormat="1" ht="30" customHeight="1" x14ac:dyDescent="0.15">
      <c r="A15" s="26">
        <v>800</v>
      </c>
      <c r="B15" s="19">
        <v>23980</v>
      </c>
      <c r="C15" s="35">
        <v>-7</v>
      </c>
      <c r="D15" s="21">
        <f t="shared" si="0"/>
        <v>23973</v>
      </c>
      <c r="E15" s="19">
        <v>1</v>
      </c>
      <c r="F15" s="20">
        <v>0</v>
      </c>
      <c r="G15" s="22">
        <f t="shared" si="1"/>
        <v>1</v>
      </c>
      <c r="H15" s="19">
        <v>2</v>
      </c>
      <c r="I15" s="23">
        <v>7</v>
      </c>
      <c r="J15" s="22">
        <f t="shared" si="2"/>
        <v>9</v>
      </c>
      <c r="K15" s="19">
        <v>3220</v>
      </c>
      <c r="L15" s="33">
        <v>0</v>
      </c>
      <c r="M15" s="22">
        <f t="shared" si="3"/>
        <v>3220</v>
      </c>
      <c r="N15" s="19">
        <v>25612</v>
      </c>
      <c r="O15" s="32">
        <v>0</v>
      </c>
      <c r="P15" s="21">
        <f t="shared" si="4"/>
        <v>25612</v>
      </c>
      <c r="Q15" s="19">
        <f t="shared" si="5"/>
        <v>52815</v>
      </c>
      <c r="R15" s="34">
        <f t="shared" si="6"/>
        <v>0</v>
      </c>
      <c r="S15" s="24">
        <f t="shared" si="7"/>
        <v>52815</v>
      </c>
      <c r="T15" s="25"/>
      <c r="U15" s="6"/>
    </row>
    <row r="16" spans="1:21" s="7" customFormat="1" ht="30" customHeight="1" x14ac:dyDescent="0.15">
      <c r="A16" s="26" t="s">
        <v>13</v>
      </c>
      <c r="B16" s="19">
        <v>5459</v>
      </c>
      <c r="C16" s="35">
        <v>-94</v>
      </c>
      <c r="D16" s="21">
        <f t="shared" si="0"/>
        <v>5365</v>
      </c>
      <c r="E16" s="19">
        <v>19</v>
      </c>
      <c r="F16" s="20">
        <v>0</v>
      </c>
      <c r="G16" s="22">
        <f t="shared" si="1"/>
        <v>19</v>
      </c>
      <c r="H16" s="19">
        <v>25</v>
      </c>
      <c r="I16" s="23">
        <v>94</v>
      </c>
      <c r="J16" s="22">
        <f t="shared" si="2"/>
        <v>119</v>
      </c>
      <c r="K16" s="19">
        <v>162</v>
      </c>
      <c r="L16" s="33">
        <v>0</v>
      </c>
      <c r="M16" s="22">
        <f t="shared" si="3"/>
        <v>162</v>
      </c>
      <c r="N16" s="19">
        <v>4675</v>
      </c>
      <c r="O16" s="32">
        <v>0</v>
      </c>
      <c r="P16" s="21">
        <f t="shared" si="4"/>
        <v>4675</v>
      </c>
      <c r="Q16" s="19">
        <f t="shared" si="5"/>
        <v>10340</v>
      </c>
      <c r="R16" s="34">
        <f t="shared" si="6"/>
        <v>0</v>
      </c>
      <c r="S16" s="24">
        <f t="shared" si="7"/>
        <v>10340</v>
      </c>
      <c r="T16" s="25"/>
      <c r="U16" s="6"/>
    </row>
    <row r="17" spans="1:23" s="7" customFormat="1" ht="30" customHeight="1" x14ac:dyDescent="0.15">
      <c r="A17" s="26" t="s">
        <v>14</v>
      </c>
      <c r="B17" s="19">
        <f>SUM(B7:B16)</f>
        <v>66546</v>
      </c>
      <c r="C17" s="38">
        <f>SUM(C7:C16)</f>
        <v>-122</v>
      </c>
      <c r="D17" s="27">
        <f>SUM(D7:D16)</f>
        <v>66424</v>
      </c>
      <c r="E17" s="19">
        <f>SUM(E7:E16)</f>
        <v>91</v>
      </c>
      <c r="F17" s="36">
        <f>SUM(F7:F16)</f>
        <v>0</v>
      </c>
      <c r="G17" s="28">
        <f t="shared" ref="G17:P17" si="8">SUM(G7:G16)</f>
        <v>91</v>
      </c>
      <c r="H17" s="19">
        <v>33</v>
      </c>
      <c r="I17" s="36">
        <f>SUM(I7:I16)</f>
        <v>122</v>
      </c>
      <c r="J17" s="28">
        <f>SUM(J7:J16)</f>
        <v>155</v>
      </c>
      <c r="K17" s="19">
        <f t="shared" si="8"/>
        <v>4770</v>
      </c>
      <c r="L17" s="37">
        <f>SUM(L7:L16)</f>
        <v>0</v>
      </c>
      <c r="M17" s="28">
        <f t="shared" si="8"/>
        <v>4770</v>
      </c>
      <c r="N17" s="19">
        <f>SUM(N7:N16)</f>
        <v>46229</v>
      </c>
      <c r="O17" s="38">
        <f>SUM(O7:O16)</f>
        <v>0</v>
      </c>
      <c r="P17" s="27">
        <f t="shared" si="8"/>
        <v>46229</v>
      </c>
      <c r="Q17" s="19">
        <f>SUM(Q7:Q16)</f>
        <v>117669</v>
      </c>
      <c r="R17" s="39">
        <f t="shared" ref="R17" si="9">C17+F17+I17+L17+O17</f>
        <v>0</v>
      </c>
      <c r="S17" s="24">
        <f>IF($R$6="증감",Q17+R17,Q17-R17)</f>
        <v>117669</v>
      </c>
      <c r="T17" s="25"/>
      <c r="U17" s="6"/>
    </row>
    <row r="18" spans="1:23" s="7" customFormat="1" ht="34.5" customHeight="1" x14ac:dyDescent="0.15">
      <c r="A18" s="40" t="s">
        <v>15</v>
      </c>
      <c r="B18" s="42" t="s">
        <v>21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48"/>
      <c r="R18" s="49"/>
      <c r="S18" s="50"/>
      <c r="T18" s="6"/>
      <c r="U18" s="6"/>
    </row>
    <row r="19" spans="1:23" s="7" customFormat="1" ht="47.25" customHeight="1" thickBot="1" x14ac:dyDescent="0.2">
      <c r="A19" s="41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7"/>
      <c r="Q19" s="51"/>
      <c r="R19" s="52"/>
      <c r="S19" s="53"/>
    </row>
    <row r="22" spans="1:23" x14ac:dyDescent="0.3">
      <c r="O22" s="30"/>
    </row>
    <row r="25" spans="1:23" x14ac:dyDescent="0.3"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</row>
  </sheetData>
  <mergeCells count="12">
    <mergeCell ref="A18:A19"/>
    <mergeCell ref="B18:P19"/>
    <mergeCell ref="Q18:S19"/>
    <mergeCell ref="A1:S2"/>
    <mergeCell ref="A4:E4"/>
    <mergeCell ref="A5:A6"/>
    <mergeCell ref="B5:D5"/>
    <mergeCell ref="E5:G5"/>
    <mergeCell ref="H5:J5"/>
    <mergeCell ref="K5:M5"/>
    <mergeCell ref="N5:P5"/>
    <mergeCell ref="Q5:S5"/>
  </mergeCells>
  <phoneticPr fontId="3" type="noConversion"/>
  <pageMargins left="0.34" right="0.18" top="0.61" bottom="0.31496062992125984" header="0.51181102362204722" footer="0.15748031496062992"/>
  <pageSetup paperSize="9" scale="9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5"/>
  <sheetViews>
    <sheetView tabSelected="1" zoomScaleNormal="100" workbookViewId="0">
      <selection sqref="A1:S2"/>
    </sheetView>
  </sheetViews>
  <sheetFormatPr defaultRowHeight="13.5" x14ac:dyDescent="0.3"/>
  <cols>
    <col min="1" max="1" width="6" style="29" customWidth="1"/>
    <col min="2" max="2" width="8.125" style="29" customWidth="1"/>
    <col min="3" max="3" width="7.5" style="29" customWidth="1"/>
    <col min="4" max="4" width="8.75" style="29" customWidth="1"/>
    <col min="5" max="5" width="6.125" style="29" customWidth="1"/>
    <col min="6" max="6" width="5.125" style="29" customWidth="1"/>
    <col min="7" max="7" width="6.125" style="29" customWidth="1"/>
    <col min="8" max="8" width="5.75" style="29" customWidth="1"/>
    <col min="9" max="9" width="5.625" style="29" customWidth="1"/>
    <col min="10" max="10" width="6.125" style="29" customWidth="1"/>
    <col min="11" max="11" width="7.125" style="29" customWidth="1"/>
    <col min="12" max="12" width="5.5" style="29" customWidth="1"/>
    <col min="13" max="13" width="7.375" style="29" customWidth="1"/>
    <col min="14" max="14" width="8.125" style="29" customWidth="1"/>
    <col min="15" max="15" width="8.25" style="29" customWidth="1"/>
    <col min="16" max="16" width="8.125" style="29" customWidth="1"/>
    <col min="17" max="17" width="10.125" style="29" customWidth="1"/>
    <col min="18" max="18" width="7.875" style="29" customWidth="1"/>
    <col min="19" max="19" width="11.625" style="29" customWidth="1"/>
    <col min="20" max="22" width="9.125" style="29" bestFit="1" customWidth="1"/>
    <col min="23" max="23" width="9.75" style="29" bestFit="1" customWidth="1"/>
    <col min="24" max="16384" width="9" style="29"/>
  </cols>
  <sheetData>
    <row r="1" spans="1:21" s="1" customFormat="1" ht="8.25" customHeight="1" x14ac:dyDescent="0.3">
      <c r="A1" s="54" t="s">
        <v>22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21" s="1" customFormat="1" ht="49.5" customHeigh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21" s="1" customFormat="1" ht="7.5" customHeight="1" x14ac:dyDescent="0.3">
      <c r="A3" s="2"/>
      <c r="B3" s="2"/>
      <c r="C3" s="2"/>
      <c r="D3" s="2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2"/>
      <c r="R3" s="5"/>
      <c r="S3" s="3"/>
    </row>
    <row r="4" spans="1:21" s="1" customFormat="1" ht="27" customHeight="1" thickBot="1" x14ac:dyDescent="0.35">
      <c r="A4" s="55" t="s">
        <v>20</v>
      </c>
      <c r="B4" s="55"/>
      <c r="C4" s="55"/>
      <c r="D4" s="55"/>
      <c r="E4" s="5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1" s="7" customFormat="1" ht="25.5" customHeight="1" x14ac:dyDescent="0.15">
      <c r="A5" s="56" t="s">
        <v>1</v>
      </c>
      <c r="B5" s="58" t="s">
        <v>2</v>
      </c>
      <c r="C5" s="59"/>
      <c r="D5" s="60"/>
      <c r="E5" s="58" t="s">
        <v>3</v>
      </c>
      <c r="F5" s="59"/>
      <c r="G5" s="61"/>
      <c r="H5" s="62" t="s">
        <v>4</v>
      </c>
      <c r="I5" s="63"/>
      <c r="J5" s="64"/>
      <c r="K5" s="58" t="s">
        <v>5</v>
      </c>
      <c r="L5" s="59"/>
      <c r="M5" s="59"/>
      <c r="N5" s="58" t="s">
        <v>6</v>
      </c>
      <c r="O5" s="59"/>
      <c r="P5" s="60"/>
      <c r="Q5" s="65" t="s">
        <v>7</v>
      </c>
      <c r="R5" s="65"/>
      <c r="S5" s="66"/>
      <c r="T5" s="6"/>
      <c r="U5" s="6"/>
    </row>
    <row r="6" spans="1:21" s="7" customFormat="1" ht="26.25" customHeight="1" x14ac:dyDescent="0.15">
      <c r="A6" s="57"/>
      <c r="B6" s="8" t="s">
        <v>8</v>
      </c>
      <c r="C6" s="9" t="s">
        <v>16</v>
      </c>
      <c r="D6" s="10" t="s">
        <v>9</v>
      </c>
      <c r="E6" s="8" t="s">
        <v>8</v>
      </c>
      <c r="F6" s="9" t="s">
        <v>18</v>
      </c>
      <c r="G6" s="11" t="s">
        <v>10</v>
      </c>
      <c r="H6" s="8" t="s">
        <v>8</v>
      </c>
      <c r="I6" s="12" t="s">
        <v>17</v>
      </c>
      <c r="J6" s="13" t="s">
        <v>10</v>
      </c>
      <c r="K6" s="8" t="s">
        <v>8</v>
      </c>
      <c r="L6" s="9" t="s">
        <v>17</v>
      </c>
      <c r="M6" s="14" t="s">
        <v>10</v>
      </c>
      <c r="N6" s="8" t="s">
        <v>11</v>
      </c>
      <c r="O6" s="9" t="s">
        <v>17</v>
      </c>
      <c r="P6" s="10" t="s">
        <v>10</v>
      </c>
      <c r="Q6" s="15" t="s">
        <v>8</v>
      </c>
      <c r="R6" s="16" t="s">
        <v>17</v>
      </c>
      <c r="S6" s="17" t="s">
        <v>10</v>
      </c>
      <c r="T6" s="6"/>
      <c r="U6" s="6"/>
    </row>
    <row r="7" spans="1:21" s="7" customFormat="1" ht="30" customHeight="1" x14ac:dyDescent="0.15">
      <c r="A7" s="18" t="s">
        <v>12</v>
      </c>
      <c r="B7" s="19">
        <f>'1.29.수정(별치)'!D7</f>
        <v>2531</v>
      </c>
      <c r="C7" s="35">
        <v>0</v>
      </c>
      <c r="D7" s="21">
        <f>B7+C7</f>
        <v>2531</v>
      </c>
      <c r="E7" s="19">
        <f>'1.29.수정(별치)'!G7</f>
        <v>0</v>
      </c>
      <c r="F7" s="20">
        <v>0</v>
      </c>
      <c r="G7" s="22">
        <f>E7+F7</f>
        <v>0</v>
      </c>
      <c r="H7" s="19">
        <f>'1.29.수정(별치)'!J7</f>
        <v>0</v>
      </c>
      <c r="I7" s="23">
        <v>0</v>
      </c>
      <c r="J7" s="22">
        <f>H7+I7</f>
        <v>0</v>
      </c>
      <c r="K7" s="19">
        <f>'1.29.수정(별치)'!M7</f>
        <v>19</v>
      </c>
      <c r="L7" s="33">
        <v>0</v>
      </c>
      <c r="M7" s="22">
        <f>K7+L7</f>
        <v>19</v>
      </c>
      <c r="N7" s="19">
        <f>'1.29.수정(별치)'!P7</f>
        <v>972</v>
      </c>
      <c r="O7" s="32">
        <v>0</v>
      </c>
      <c r="P7" s="21">
        <f>N7+O7</f>
        <v>972</v>
      </c>
      <c r="Q7" s="19">
        <f>B7+E7+H7+K7+N7</f>
        <v>3522</v>
      </c>
      <c r="R7" s="34">
        <f>C7+F7+I7+L7+O7</f>
        <v>0</v>
      </c>
      <c r="S7" s="24">
        <f>Q7+R7</f>
        <v>3522</v>
      </c>
      <c r="T7" s="25"/>
      <c r="U7" s="6"/>
    </row>
    <row r="8" spans="1:21" s="7" customFormat="1" ht="30" customHeight="1" x14ac:dyDescent="0.15">
      <c r="A8" s="26">
        <v>100</v>
      </c>
      <c r="B8" s="19">
        <f>'1.29.수정(별치)'!D8</f>
        <v>5367</v>
      </c>
      <c r="C8" s="35">
        <v>8</v>
      </c>
      <c r="D8" s="21">
        <f t="shared" ref="D8:D16" si="0">B8+C8</f>
        <v>5375</v>
      </c>
      <c r="E8" s="19">
        <f>'1.29.수정(별치)'!G8</f>
        <v>0</v>
      </c>
      <c r="F8" s="20">
        <v>0</v>
      </c>
      <c r="G8" s="22">
        <f t="shared" ref="G8:G16" si="1">E8+F8</f>
        <v>0</v>
      </c>
      <c r="H8" s="19">
        <f>'1.29.수정(별치)'!J8</f>
        <v>0</v>
      </c>
      <c r="I8" s="23">
        <v>0</v>
      </c>
      <c r="J8" s="22">
        <f t="shared" ref="J8:J16" si="2">H8+I8</f>
        <v>0</v>
      </c>
      <c r="K8" s="19">
        <f>'1.29.수정(별치)'!M8</f>
        <v>35</v>
      </c>
      <c r="L8" s="33">
        <v>0</v>
      </c>
      <c r="M8" s="22">
        <f t="shared" ref="M8:M16" si="3">K8+L8</f>
        <v>35</v>
      </c>
      <c r="N8" s="19">
        <f>'1.29.수정(별치)'!P8</f>
        <v>985</v>
      </c>
      <c r="O8" s="32">
        <v>0</v>
      </c>
      <c r="P8" s="21">
        <f t="shared" ref="P8:P16" si="4">N8+O8</f>
        <v>985</v>
      </c>
      <c r="Q8" s="19">
        <f t="shared" ref="Q8:R17" si="5">B8+E8+H8+K8+N8</f>
        <v>6387</v>
      </c>
      <c r="R8" s="34">
        <f t="shared" si="5"/>
        <v>8</v>
      </c>
      <c r="S8" s="24">
        <f t="shared" ref="S8:S16" si="6">Q8+R8</f>
        <v>6395</v>
      </c>
      <c r="T8" s="25"/>
      <c r="U8" s="6"/>
    </row>
    <row r="9" spans="1:21" s="7" customFormat="1" ht="30" customHeight="1" x14ac:dyDescent="0.15">
      <c r="A9" s="26">
        <v>200</v>
      </c>
      <c r="B9" s="19">
        <f>'1.29.수정(별치)'!D9</f>
        <v>1893</v>
      </c>
      <c r="C9" s="35">
        <v>1</v>
      </c>
      <c r="D9" s="21">
        <f t="shared" si="0"/>
        <v>1894</v>
      </c>
      <c r="E9" s="19">
        <f>'1.29.수정(별치)'!G9</f>
        <v>0</v>
      </c>
      <c r="F9" s="20">
        <v>0</v>
      </c>
      <c r="G9" s="22">
        <f t="shared" si="1"/>
        <v>0</v>
      </c>
      <c r="H9" s="19">
        <f>'1.29.수정(별치)'!J9</f>
        <v>3</v>
      </c>
      <c r="I9" s="23">
        <v>0</v>
      </c>
      <c r="J9" s="22">
        <f t="shared" si="2"/>
        <v>3</v>
      </c>
      <c r="K9" s="19">
        <f>'1.29.수정(별치)'!M9</f>
        <v>19</v>
      </c>
      <c r="L9" s="33">
        <v>0</v>
      </c>
      <c r="M9" s="22">
        <f t="shared" si="3"/>
        <v>19</v>
      </c>
      <c r="N9" s="19">
        <f>'1.29.수정(별치)'!P9</f>
        <v>485</v>
      </c>
      <c r="O9" s="32">
        <v>0</v>
      </c>
      <c r="P9" s="21">
        <f t="shared" si="4"/>
        <v>485</v>
      </c>
      <c r="Q9" s="19">
        <f t="shared" si="5"/>
        <v>2400</v>
      </c>
      <c r="R9" s="34">
        <f t="shared" si="5"/>
        <v>1</v>
      </c>
      <c r="S9" s="24">
        <f t="shared" si="6"/>
        <v>2401</v>
      </c>
      <c r="T9" s="25"/>
      <c r="U9" s="6"/>
    </row>
    <row r="10" spans="1:21" s="7" customFormat="1" ht="30" customHeight="1" x14ac:dyDescent="0.15">
      <c r="A10" s="26">
        <v>300</v>
      </c>
      <c r="B10" s="19">
        <f>'1.29.수정(별치)'!D10</f>
        <v>11124</v>
      </c>
      <c r="C10" s="35">
        <v>14</v>
      </c>
      <c r="D10" s="21">
        <f t="shared" si="0"/>
        <v>11138</v>
      </c>
      <c r="E10" s="19">
        <f>'1.29.수정(별치)'!G10</f>
        <v>29</v>
      </c>
      <c r="F10" s="20">
        <v>0</v>
      </c>
      <c r="G10" s="22">
        <f t="shared" si="1"/>
        <v>29</v>
      </c>
      <c r="H10" s="19">
        <f>'1.29.수정(별치)'!J10</f>
        <v>5</v>
      </c>
      <c r="I10" s="23">
        <v>0</v>
      </c>
      <c r="J10" s="22">
        <f t="shared" si="2"/>
        <v>5</v>
      </c>
      <c r="K10" s="19">
        <f>'1.29.수정(별치)'!M10</f>
        <v>230</v>
      </c>
      <c r="L10" s="33">
        <v>0</v>
      </c>
      <c r="M10" s="22">
        <f t="shared" si="3"/>
        <v>230</v>
      </c>
      <c r="N10" s="19">
        <f>'1.29.수정(별치)'!P10</f>
        <v>4409</v>
      </c>
      <c r="O10" s="32">
        <v>1</v>
      </c>
      <c r="P10" s="21">
        <f t="shared" si="4"/>
        <v>4410</v>
      </c>
      <c r="Q10" s="19">
        <f t="shared" si="5"/>
        <v>15797</v>
      </c>
      <c r="R10" s="34">
        <f t="shared" si="5"/>
        <v>15</v>
      </c>
      <c r="S10" s="24">
        <f t="shared" si="6"/>
        <v>15812</v>
      </c>
      <c r="T10" s="25"/>
      <c r="U10" s="6"/>
    </row>
    <row r="11" spans="1:21" s="7" customFormat="1" ht="30" customHeight="1" x14ac:dyDescent="0.15">
      <c r="A11" s="26">
        <v>400</v>
      </c>
      <c r="B11" s="19">
        <f>'1.29.수정(별치)'!D11</f>
        <v>2838</v>
      </c>
      <c r="C11" s="35">
        <v>4</v>
      </c>
      <c r="D11" s="21">
        <f t="shared" si="0"/>
        <v>2842</v>
      </c>
      <c r="E11" s="19">
        <f>'1.29.수정(별치)'!G11</f>
        <v>7</v>
      </c>
      <c r="F11" s="20">
        <v>0</v>
      </c>
      <c r="G11" s="22">
        <f t="shared" si="1"/>
        <v>7</v>
      </c>
      <c r="H11" s="19">
        <f>'1.29.수정(별치)'!J11</f>
        <v>5</v>
      </c>
      <c r="I11" s="23">
        <v>0</v>
      </c>
      <c r="J11" s="22">
        <f t="shared" si="2"/>
        <v>5</v>
      </c>
      <c r="K11" s="19">
        <f>'1.29.수정(별치)'!M11</f>
        <v>137</v>
      </c>
      <c r="L11" s="33">
        <v>0</v>
      </c>
      <c r="M11" s="22">
        <f t="shared" si="3"/>
        <v>137</v>
      </c>
      <c r="N11" s="19">
        <f>'1.29.수정(별치)'!P11</f>
        <v>5765</v>
      </c>
      <c r="O11" s="32">
        <v>0</v>
      </c>
      <c r="P11" s="21">
        <f t="shared" si="4"/>
        <v>5765</v>
      </c>
      <c r="Q11" s="19">
        <f t="shared" si="5"/>
        <v>8752</v>
      </c>
      <c r="R11" s="34">
        <f t="shared" si="5"/>
        <v>4</v>
      </c>
      <c r="S11" s="24">
        <f t="shared" si="6"/>
        <v>8756</v>
      </c>
      <c r="T11" s="25"/>
      <c r="U11" s="6"/>
    </row>
    <row r="12" spans="1:21" s="7" customFormat="1" ht="30" customHeight="1" x14ac:dyDescent="0.15">
      <c r="A12" s="26">
        <v>500</v>
      </c>
      <c r="B12" s="19">
        <f>'1.29.수정(별치)'!D12</f>
        <v>7749</v>
      </c>
      <c r="C12" s="35">
        <v>3</v>
      </c>
      <c r="D12" s="21">
        <f t="shared" si="0"/>
        <v>7752</v>
      </c>
      <c r="E12" s="19">
        <f>'1.29.수정(별치)'!G12</f>
        <v>2</v>
      </c>
      <c r="F12" s="20">
        <v>0</v>
      </c>
      <c r="G12" s="22">
        <f t="shared" si="1"/>
        <v>2</v>
      </c>
      <c r="H12" s="19">
        <f>'1.29.수정(별치)'!J12</f>
        <v>2</v>
      </c>
      <c r="I12" s="23">
        <v>0</v>
      </c>
      <c r="J12" s="22">
        <f t="shared" si="2"/>
        <v>2</v>
      </c>
      <c r="K12" s="19">
        <f>'1.29.수정(별치)'!M12</f>
        <v>79</v>
      </c>
      <c r="L12" s="33">
        <v>0</v>
      </c>
      <c r="M12" s="22">
        <f t="shared" si="3"/>
        <v>79</v>
      </c>
      <c r="N12" s="19">
        <f>'1.29.수정(별치)'!P12</f>
        <v>1568</v>
      </c>
      <c r="O12" s="32">
        <v>0</v>
      </c>
      <c r="P12" s="21">
        <f t="shared" si="4"/>
        <v>1568</v>
      </c>
      <c r="Q12" s="19">
        <f t="shared" si="5"/>
        <v>9400</v>
      </c>
      <c r="R12" s="34">
        <f t="shared" si="5"/>
        <v>3</v>
      </c>
      <c r="S12" s="24">
        <f t="shared" si="6"/>
        <v>9403</v>
      </c>
      <c r="T12" s="25"/>
      <c r="U12" s="6"/>
    </row>
    <row r="13" spans="1:21" s="7" customFormat="1" ht="30" customHeight="1" x14ac:dyDescent="0.15">
      <c r="A13" s="26">
        <v>600</v>
      </c>
      <c r="B13" s="19">
        <f>'1.29.수정(별치)'!D13</f>
        <v>3522</v>
      </c>
      <c r="C13" s="35">
        <v>2</v>
      </c>
      <c r="D13" s="21">
        <f t="shared" si="0"/>
        <v>3524</v>
      </c>
      <c r="E13" s="19">
        <f>'1.29.수정(별치)'!G13</f>
        <v>11</v>
      </c>
      <c r="F13" s="20">
        <v>0</v>
      </c>
      <c r="G13" s="22">
        <f t="shared" si="1"/>
        <v>11</v>
      </c>
      <c r="H13" s="19">
        <f>'1.29.수정(별치)'!J13</f>
        <v>8</v>
      </c>
      <c r="I13" s="23">
        <v>0</v>
      </c>
      <c r="J13" s="22">
        <f t="shared" si="2"/>
        <v>8</v>
      </c>
      <c r="K13" s="19">
        <f>'1.29.수정(별치)'!M13</f>
        <v>32</v>
      </c>
      <c r="L13" s="33">
        <v>0</v>
      </c>
      <c r="M13" s="22">
        <f t="shared" si="3"/>
        <v>32</v>
      </c>
      <c r="N13" s="19">
        <f>'1.29.수정(별치)'!P13</f>
        <v>1018</v>
      </c>
      <c r="O13" s="32">
        <v>1</v>
      </c>
      <c r="P13" s="21">
        <f t="shared" si="4"/>
        <v>1019</v>
      </c>
      <c r="Q13" s="19">
        <f t="shared" si="5"/>
        <v>4591</v>
      </c>
      <c r="R13" s="34">
        <f t="shared" si="5"/>
        <v>3</v>
      </c>
      <c r="S13" s="24">
        <f t="shared" si="6"/>
        <v>4594</v>
      </c>
      <c r="T13" s="25"/>
      <c r="U13" s="6"/>
    </row>
    <row r="14" spans="1:21" s="7" customFormat="1" ht="30" customHeight="1" x14ac:dyDescent="0.15">
      <c r="A14" s="26">
        <v>700</v>
      </c>
      <c r="B14" s="19">
        <f>'1.29.수정(별치)'!D14</f>
        <v>2062</v>
      </c>
      <c r="C14" s="35">
        <v>1</v>
      </c>
      <c r="D14" s="21">
        <f t="shared" si="0"/>
        <v>2063</v>
      </c>
      <c r="E14" s="19">
        <f>'1.29.수정(별치)'!G14</f>
        <v>22</v>
      </c>
      <c r="F14" s="20">
        <v>0</v>
      </c>
      <c r="G14" s="22">
        <f t="shared" si="1"/>
        <v>22</v>
      </c>
      <c r="H14" s="19">
        <f>'1.29.수정(별치)'!J14</f>
        <v>4</v>
      </c>
      <c r="I14" s="23">
        <v>0</v>
      </c>
      <c r="J14" s="22">
        <f t="shared" si="2"/>
        <v>4</v>
      </c>
      <c r="K14" s="19">
        <f>'1.29.수정(별치)'!M14</f>
        <v>837</v>
      </c>
      <c r="L14" s="33">
        <v>0</v>
      </c>
      <c r="M14" s="22">
        <f t="shared" si="3"/>
        <v>837</v>
      </c>
      <c r="N14" s="19">
        <f>'1.29.수정(별치)'!P14</f>
        <v>740</v>
      </c>
      <c r="O14" s="32">
        <v>0</v>
      </c>
      <c r="P14" s="21">
        <f t="shared" si="4"/>
        <v>740</v>
      </c>
      <c r="Q14" s="19">
        <f t="shared" si="5"/>
        <v>3665</v>
      </c>
      <c r="R14" s="34">
        <f t="shared" si="5"/>
        <v>1</v>
      </c>
      <c r="S14" s="24">
        <f t="shared" si="6"/>
        <v>3666</v>
      </c>
      <c r="T14" s="25"/>
      <c r="U14" s="6"/>
    </row>
    <row r="15" spans="1:21" s="7" customFormat="1" ht="30" customHeight="1" x14ac:dyDescent="0.15">
      <c r="A15" s="26">
        <v>800</v>
      </c>
      <c r="B15" s="19">
        <f>'1.29.수정(별치)'!D15</f>
        <v>23973</v>
      </c>
      <c r="C15" s="35">
        <v>17</v>
      </c>
      <c r="D15" s="21">
        <f t="shared" si="0"/>
        <v>23990</v>
      </c>
      <c r="E15" s="19">
        <f>'1.29.수정(별치)'!G15</f>
        <v>1</v>
      </c>
      <c r="F15" s="20">
        <v>0</v>
      </c>
      <c r="G15" s="22">
        <f t="shared" si="1"/>
        <v>1</v>
      </c>
      <c r="H15" s="19">
        <f>'1.29.수정(별치)'!J15</f>
        <v>9</v>
      </c>
      <c r="I15" s="23">
        <v>0</v>
      </c>
      <c r="J15" s="22">
        <f t="shared" si="2"/>
        <v>9</v>
      </c>
      <c r="K15" s="19">
        <f>'1.29.수정(별치)'!M15</f>
        <v>3220</v>
      </c>
      <c r="L15" s="33">
        <v>0</v>
      </c>
      <c r="M15" s="22">
        <f t="shared" si="3"/>
        <v>3220</v>
      </c>
      <c r="N15" s="19">
        <f>'1.29.수정(별치)'!P15</f>
        <v>25612</v>
      </c>
      <c r="O15" s="32">
        <v>7</v>
      </c>
      <c r="P15" s="21">
        <f t="shared" si="4"/>
        <v>25619</v>
      </c>
      <c r="Q15" s="19">
        <f t="shared" si="5"/>
        <v>52815</v>
      </c>
      <c r="R15" s="34">
        <f t="shared" si="5"/>
        <v>24</v>
      </c>
      <c r="S15" s="24">
        <f t="shared" si="6"/>
        <v>52839</v>
      </c>
      <c r="T15" s="25"/>
      <c r="U15" s="6"/>
    </row>
    <row r="16" spans="1:21" s="7" customFormat="1" ht="30" customHeight="1" x14ac:dyDescent="0.15">
      <c r="A16" s="26" t="s">
        <v>13</v>
      </c>
      <c r="B16" s="19">
        <f>'1.29.수정(별치)'!D16</f>
        <v>5365</v>
      </c>
      <c r="C16" s="35">
        <v>1</v>
      </c>
      <c r="D16" s="21">
        <f t="shared" si="0"/>
        <v>5366</v>
      </c>
      <c r="E16" s="19">
        <f>'1.29.수정(별치)'!G16</f>
        <v>19</v>
      </c>
      <c r="F16" s="20">
        <v>0</v>
      </c>
      <c r="G16" s="22">
        <f t="shared" si="1"/>
        <v>19</v>
      </c>
      <c r="H16" s="19">
        <f>'1.29.수정(별치)'!J16</f>
        <v>119</v>
      </c>
      <c r="I16" s="23">
        <v>0</v>
      </c>
      <c r="J16" s="22">
        <f t="shared" si="2"/>
        <v>119</v>
      </c>
      <c r="K16" s="19">
        <f>'1.29.수정(별치)'!M16</f>
        <v>162</v>
      </c>
      <c r="L16" s="33">
        <v>0</v>
      </c>
      <c r="M16" s="22">
        <f t="shared" si="3"/>
        <v>162</v>
      </c>
      <c r="N16" s="19">
        <f>'1.29.수정(별치)'!P16</f>
        <v>4675</v>
      </c>
      <c r="O16" s="32">
        <v>0</v>
      </c>
      <c r="P16" s="21">
        <f t="shared" si="4"/>
        <v>4675</v>
      </c>
      <c r="Q16" s="19">
        <f t="shared" si="5"/>
        <v>10340</v>
      </c>
      <c r="R16" s="34">
        <f t="shared" si="5"/>
        <v>1</v>
      </c>
      <c r="S16" s="24">
        <f t="shared" si="6"/>
        <v>10341</v>
      </c>
      <c r="T16" s="25"/>
      <c r="U16" s="6"/>
    </row>
    <row r="17" spans="1:23" s="7" customFormat="1" ht="30" customHeight="1" x14ac:dyDescent="0.15">
      <c r="A17" s="26" t="s">
        <v>14</v>
      </c>
      <c r="B17" s="19">
        <f>SUM(B7:B16)</f>
        <v>66424</v>
      </c>
      <c r="C17" s="38">
        <f>SUM(C7:C16)</f>
        <v>51</v>
      </c>
      <c r="D17" s="27">
        <f>SUM(D7:D16)</f>
        <v>66475</v>
      </c>
      <c r="E17" s="19">
        <f>SUM(E7:E16)</f>
        <v>91</v>
      </c>
      <c r="F17" s="36">
        <f>SUM(F7:F16)</f>
        <v>0</v>
      </c>
      <c r="G17" s="28">
        <f t="shared" ref="G17:P17" si="7">SUM(G7:G16)</f>
        <v>91</v>
      </c>
      <c r="H17" s="19">
        <f>SUM(H7:H16)</f>
        <v>155</v>
      </c>
      <c r="I17" s="36">
        <f>SUM(I7:I16)</f>
        <v>0</v>
      </c>
      <c r="J17" s="28">
        <f>SUM(J7:J16)</f>
        <v>155</v>
      </c>
      <c r="K17" s="19">
        <f t="shared" si="7"/>
        <v>4770</v>
      </c>
      <c r="L17" s="37">
        <f>SUM(L7:L16)</f>
        <v>0</v>
      </c>
      <c r="M17" s="28">
        <f t="shared" si="7"/>
        <v>4770</v>
      </c>
      <c r="N17" s="19">
        <f>SUM(N7:N16)</f>
        <v>46229</v>
      </c>
      <c r="O17" s="38">
        <f>SUM(O7:O16)</f>
        <v>9</v>
      </c>
      <c r="P17" s="27">
        <f t="shared" si="7"/>
        <v>46238</v>
      </c>
      <c r="Q17" s="19">
        <f>SUM(Q7:Q16)</f>
        <v>117669</v>
      </c>
      <c r="R17" s="39">
        <f t="shared" si="5"/>
        <v>60</v>
      </c>
      <c r="S17" s="24">
        <f>IF($R$6="증감",Q17+R17,Q17-R17)</f>
        <v>117729</v>
      </c>
      <c r="T17" s="25"/>
      <c r="U17" s="6"/>
    </row>
    <row r="18" spans="1:23" s="7" customFormat="1" ht="34.5" customHeight="1" x14ac:dyDescent="0.15">
      <c r="A18" s="40" t="s">
        <v>15</v>
      </c>
      <c r="B18" s="42" t="s">
        <v>19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48"/>
      <c r="R18" s="49"/>
      <c r="S18" s="50"/>
      <c r="T18" s="6"/>
      <c r="U18" s="6"/>
    </row>
    <row r="19" spans="1:23" s="7" customFormat="1" ht="47.25" customHeight="1" thickBot="1" x14ac:dyDescent="0.2">
      <c r="A19" s="41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7"/>
      <c r="Q19" s="51"/>
      <c r="R19" s="52"/>
      <c r="S19" s="53"/>
    </row>
    <row r="22" spans="1:23" x14ac:dyDescent="0.3">
      <c r="O22" s="30"/>
    </row>
    <row r="25" spans="1:23" x14ac:dyDescent="0.3"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</row>
  </sheetData>
  <mergeCells count="12">
    <mergeCell ref="A18:A19"/>
    <mergeCell ref="B18:P19"/>
    <mergeCell ref="Q18:S19"/>
    <mergeCell ref="A1:S2"/>
    <mergeCell ref="A4:E4"/>
    <mergeCell ref="A5:A6"/>
    <mergeCell ref="B5:D5"/>
    <mergeCell ref="E5:G5"/>
    <mergeCell ref="H5:J5"/>
    <mergeCell ref="K5:M5"/>
    <mergeCell ref="N5:P5"/>
    <mergeCell ref="Q5:S5"/>
  </mergeCells>
  <phoneticPr fontId="3" type="noConversion"/>
  <pageMargins left="0.34" right="0.18" top="0.61" bottom="0.31496062992125984" header="0.51181102362204722" footer="0.15748031496062992"/>
  <pageSetup paperSize="9" scale="9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1.29.수정(별치)</vt:lpstr>
      <vt:lpstr>2026년1월</vt:lpstr>
      <vt:lpstr>'1.29.수정(별치)'!Print_Area</vt:lpstr>
      <vt:lpstr>'2026년1월'!Print_Area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2025-08-29T05:07:13Z</cp:lastPrinted>
  <dcterms:created xsi:type="dcterms:W3CDTF">2025-03-05T01:17:16Z</dcterms:created>
  <dcterms:modified xsi:type="dcterms:W3CDTF">2026-01-29T08:07:51Z</dcterms:modified>
</cp:coreProperties>
</file>