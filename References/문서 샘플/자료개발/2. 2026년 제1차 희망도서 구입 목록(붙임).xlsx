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AppData\Local\Temp\handytmp\"/>
    </mc:Choice>
  </mc:AlternateContent>
  <bookViews>
    <workbookView xWindow="0" yWindow="0" windowWidth="28800" windowHeight="12285"/>
  </bookViews>
  <sheets>
    <sheet name="제1차" sheetId="2" r:id="rId1"/>
  </sheets>
  <definedNames>
    <definedName name="_xlnm._FilterDatabase" localSheetId="0" hidden="1">제1차!#REF!</definedName>
    <definedName name="_xlnm.Print_Titles" localSheetId="0">제1차!$3:$3</definedName>
  </definedNames>
  <calcPr calcId="162913"/>
</workbook>
</file>

<file path=xl/calcChain.xml><?xml version="1.0" encoding="utf-8"?>
<calcChain xmlns="http://schemas.openxmlformats.org/spreadsheetml/2006/main">
  <c r="G31" i="2" l="1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1" i="2" l="1"/>
</calcChain>
</file>

<file path=xl/sharedStrings.xml><?xml version="1.0" encoding="utf-8"?>
<sst xmlns="http://schemas.openxmlformats.org/spreadsheetml/2006/main" count="118" uniqueCount="115">
  <si>
    <t>서명</t>
  </si>
  <si>
    <t>저자</t>
  </si>
  <si>
    <t>출판사</t>
  </si>
  <si>
    <t>출판년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</si>
  <si>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</si>
  <si>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</si>
  <si>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</si>
  <si>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</si>
  <si>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</si>
  <si>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</si>
  <si>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</si>
  <si>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</si>
  <si>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</si>
  <si>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</si>
  <si>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</si>
  <si>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</si>
  <si>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</si>
  <si>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</si>
  <si>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</si>
  <si>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</si>
  <si>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</si>
  <si>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</si>
  <si>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</si>
  <si>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</si>
  <si>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</si>
  <si>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</si>
  <si>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권수</t>
    <phoneticPr fontId="1" type="noConversion"/>
  </si>
  <si>
    <t>25</t>
  </si>
  <si>
    <t>26</t>
  </si>
  <si>
    <t>번호</t>
    <phoneticPr fontId="1" type="noConversion"/>
  </si>
  <si>
    <t>계</t>
    <phoneticPr fontId="1" type="noConversion"/>
  </si>
  <si>
    <t>27</t>
  </si>
  <si>
    <t>창비</t>
  </si>
  <si>
    <t>문학동네</t>
  </si>
  <si>
    <t>동아시아</t>
  </si>
  <si>
    <t>2026년 제1차 희망도서 구입 목록</t>
    <phoneticPr fontId="1" type="noConversion"/>
  </si>
  <si>
    <t>정가</t>
    <phoneticPr fontId="1" type="noConversion"/>
  </si>
  <si>
    <t>금액</t>
    <phoneticPr fontId="1" type="noConversion"/>
  </si>
  <si>
    <t>감정시계</t>
  </si>
  <si>
    <t xml:space="preserve">강도형 </t>
  </si>
  <si>
    <t>쌤앤파커스</t>
  </si>
  <si>
    <t>길 위의 클래식</t>
  </si>
  <si>
    <t xml:space="preserve">진회숙 </t>
  </si>
  <si>
    <t>상상스퀘어</t>
  </si>
  <si>
    <t>나는 어디로 가야 할까?</t>
  </si>
  <si>
    <t xml:space="preserve">김지광 </t>
  </si>
  <si>
    <t>프리즘(스노우폭스북스)</t>
  </si>
  <si>
    <t>낭만 강아지 봉봉 9</t>
  </si>
  <si>
    <t xml:space="preserve">홍민정 </t>
  </si>
  <si>
    <t>다산어린이</t>
  </si>
  <si>
    <t>누군가 나를 살아주고 있어</t>
  </si>
  <si>
    <t xml:space="preserve">백무산 </t>
  </si>
  <si>
    <t xml:space="preserve">아잠 아흐메드 </t>
  </si>
  <si>
    <t xml:space="preserve">이기호 </t>
  </si>
  <si>
    <t xml:space="preserve">모리 슈워츠 </t>
  </si>
  <si>
    <t>부키</t>
  </si>
  <si>
    <t xml:space="preserve">우석(브라운스톤) </t>
  </si>
  <si>
    <t>오픈마인드</t>
  </si>
  <si>
    <t xml:space="preserve">박찬국 </t>
  </si>
  <si>
    <t>21세기북스</t>
  </si>
  <si>
    <t xml:space="preserve">크러스너호르커이 라슬로 </t>
  </si>
  <si>
    <t>알마</t>
  </si>
  <si>
    <t xml:space="preserve">허영엽 </t>
  </si>
  <si>
    <t>가톨릭출판사</t>
  </si>
  <si>
    <t xml:space="preserve">임태훈 </t>
  </si>
  <si>
    <t>역사공간</t>
  </si>
  <si>
    <t xml:space="preserve">정세월드 </t>
  </si>
  <si>
    <t>북엔드</t>
  </si>
  <si>
    <t xml:space="preserve">손연주 </t>
  </si>
  <si>
    <t>주니어RHK(주니어랜덤)</t>
  </si>
  <si>
    <t xml:space="preserve">김현수 </t>
  </si>
  <si>
    <t>해냄</t>
  </si>
  <si>
    <t xml:space="preserve">이상인 </t>
  </si>
  <si>
    <t>머핀북</t>
  </si>
  <si>
    <t xml:space="preserve">케빈 J. 미첼 </t>
  </si>
  <si>
    <t>오픈도어북스</t>
  </si>
  <si>
    <t xml:space="preserve">신인철 </t>
  </si>
  <si>
    <t>비룡소</t>
  </si>
  <si>
    <t xml:space="preserve">전지민.문은영 </t>
  </si>
  <si>
    <t>퍼들점프</t>
  </si>
  <si>
    <t xml:space="preserve">김진우(은잡지) </t>
  </si>
  <si>
    <t>빅피시</t>
  </si>
  <si>
    <t xml:space="preserve">히라야마 렌 </t>
  </si>
  <si>
    <t>더숲</t>
  </si>
  <si>
    <t xml:space="preserve">우일연 </t>
  </si>
  <si>
    <t>드롬</t>
  </si>
  <si>
    <t xml:space="preserve">이광수 </t>
  </si>
  <si>
    <t xml:space="preserve">황석영 </t>
  </si>
  <si>
    <t xml:space="preserve">레누카 가브라니 </t>
  </si>
  <si>
    <t>퍼스트펭귄</t>
  </si>
  <si>
    <t xml:space="preserve">방종임,이만기 </t>
  </si>
  <si>
    <t>2</t>
    <phoneticPr fontId="1" type="noConversion"/>
  </si>
  <si>
    <t>□ 신청기간:  2025. 12. 1. ~ 2025. 12. 31.</t>
    <phoneticPr fontId="1" type="noConversion"/>
  </si>
  <si>
    <t>명랑한 이시봉의 짧고 투쟁 없는 삶</t>
    <phoneticPr fontId="1" type="noConversion"/>
  </si>
  <si>
    <t>두려움이란 말 따위</t>
    <phoneticPr fontId="1" type="noConversion"/>
  </si>
  <si>
    <t>모리와 함께한 마지막 수업</t>
    <phoneticPr fontId="1" type="noConversion"/>
  </si>
  <si>
    <t>부의 인문학 (개정증보판)</t>
    <phoneticPr fontId="1" type="noConversion"/>
  </si>
  <si>
    <t>삶은 왜 짐이 되었는가</t>
    <phoneticPr fontId="1" type="noConversion"/>
  </si>
  <si>
    <t>서왕모의 강림</t>
    <phoneticPr fontId="1" type="noConversion"/>
  </si>
  <si>
    <t>세상에서 가장 쉬운 천주교 교리 배울래요?</t>
    <phoneticPr fontId="1" type="noConversion"/>
  </si>
  <si>
    <t>쓰레기 기억상실증</t>
    <phoneticPr fontId="1" type="noConversion"/>
  </si>
  <si>
    <t>오늘도 무사히, 일본살이 중입니다</t>
    <phoneticPr fontId="1" type="noConversion"/>
  </si>
  <si>
    <t>오늘도 식물하러 갑니다</t>
    <phoneticPr fontId="1" type="noConversion"/>
  </si>
  <si>
    <t>요즘 아이들 무기력의 비밀</t>
    <phoneticPr fontId="1" type="noConversion"/>
  </si>
  <si>
    <t>우리가 음악이 되는 시간</t>
    <phoneticPr fontId="1" type="noConversion"/>
  </si>
  <si>
    <t>우리는 무엇을 타고나는가</t>
    <phoneticPr fontId="1" type="noConversion"/>
  </si>
  <si>
    <t>유전자를 조작해 난치병을 고칠 수 있다고?</t>
    <phoneticPr fontId="1" type="noConversion"/>
  </si>
  <si>
    <t>이불안 여자들</t>
    <phoneticPr fontId="1" type="noConversion"/>
  </si>
  <si>
    <t>이상한 과학책</t>
    <phoneticPr fontId="1" type="noConversion"/>
  </si>
  <si>
    <t>재밌어서 밤새 읽는 공룡 이야기</t>
    <phoneticPr fontId="1" type="noConversion"/>
  </si>
  <si>
    <t>주인 노예 남편 아내</t>
    <phoneticPr fontId="1" type="noConversion"/>
  </si>
  <si>
    <t>진보를 위한 주식투자</t>
    <phoneticPr fontId="1" type="noConversion"/>
  </si>
  <si>
    <t>할매</t>
    <phoneticPr fontId="1" type="noConversion"/>
  </si>
  <si>
    <t>혼자의 시간으로 더 깊어지는 법에 관하여</t>
    <phoneticPr fontId="1" type="noConversion"/>
  </si>
  <si>
    <t>AI 시대 패러다임 대혁명! 대한민국 교육 키워드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</si>
</sst>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4"/>
      <color indexed="8"/>
      <name val="맑은 고딕"/>
      <family val="3"/>
      <charset val="129"/>
      <scheme val="minor"/>
    </font>
    <font>
      <b/>
      <sz val="22"/>
      <color indexed="8"/>
      <name val="맑은 고딕"/>
      <family val="3"/>
      <charset val="129"/>
      <scheme val="minor"/>
    </font>
    <font>
      <sz val="22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shrinkToFit="1"/>
    </xf>
    <xf numFmtId="49" fontId="5" fillId="2" borderId="1" xfId="0" applyNumberFormat="1" applyFont="1" applyFill="1" applyBorder="1" applyAlignment="1">
      <alignment horizontal="center" vertical="center" shrinkToFit="1"/>
    </xf>
    <xf numFmtId="49" fontId="6" fillId="3" borderId="1" xfId="0" applyNumberFormat="1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shrinkToFit="1"/>
    </xf>
    <xf numFmtId="0" fontId="8" fillId="2" borderId="1" xfId="0" applyFont="1" applyFill="1" applyBorder="1" applyAlignment="1">
      <alignment horizontal="right" vertical="center"/>
    </xf>
    <xf numFmtId="3" fontId="8" fillId="2" borderId="1" xfId="0" applyNumberFormat="1" applyFont="1" applyFill="1" applyBorder="1" applyAlignment="1">
      <alignment horizontal="right" vertical="center"/>
    </xf>
    <xf numFmtId="49" fontId="6" fillId="3" borderId="1" xfId="0" applyNumberFormat="1" applyFont="1" applyFill="1" applyBorder="1" applyAlignment="1">
      <alignment vertical="center" shrinkToFit="1"/>
    </xf>
    <xf numFmtId="49" fontId="9" fillId="2" borderId="1" xfId="0" applyNumberFormat="1" applyFont="1" applyFill="1" applyBorder="1" applyAlignment="1">
      <alignment horizontal="left" vertical="center" shrinkToFit="1"/>
    </xf>
    <xf numFmtId="49" fontId="9" fillId="2" borderId="1" xfId="0" applyNumberFormat="1" applyFont="1" applyFill="1" applyBorder="1" applyAlignment="1">
      <alignment horizontal="center" vertical="center" shrinkToFit="1"/>
    </xf>
    <xf numFmtId="3" fontId="9" fillId="2" borderId="1" xfId="0" applyNumberFormat="1" applyFont="1" applyFill="1" applyBorder="1" applyAlignment="1">
      <alignment horizontal="right" vertical="center" shrinkToFit="1"/>
    </xf>
    <xf numFmtId="0" fontId="7" fillId="2" borderId="1" xfId="0" applyNumberFormat="1" applyFont="1" applyFill="1" applyBorder="1" applyAlignment="1">
      <alignment horizontal="center" vertical="center" shrinkToFit="1"/>
    </xf>
    <xf numFmtId="3" fontId="7" fillId="2" borderId="1" xfId="0" applyNumberFormat="1" applyFont="1" applyFill="1" applyBorder="1" applyAlignment="1">
      <alignment horizontal="right" vertical="center" shrinkToFit="1"/>
    </xf>
    <xf numFmtId="0" fontId="5" fillId="2" borderId="1" xfId="0" applyNumberFormat="1" applyFont="1" applyFill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 shrinkToFit="1"/>
    </xf>
    <xf numFmtId="0" fontId="0" fillId="0" borderId="3" xfId="0" applyBorder="1" applyAlignment="1">
      <alignment horizontal="left" vertical="center" shrinkToFit="1"/>
    </xf>
    <xf numFmtId="0" fontId="0" fillId="0" borderId="4" xfId="0" applyBorder="1" applyAlignment="1">
      <alignment horizontal="left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>
      <selection sqref="A1:H1"/>
    </sheetView>
  </sheetViews>
  <sheetFormatPr defaultRowHeight="16.5"/>
  <cols>
    <col min="1" max="1" width="4.875" style="1" customWidth="1" collapsed="1"/>
    <col min="2" max="2" width="44" style="3" customWidth="1" collapsed="1"/>
    <col min="3" max="3" width="15.375" style="3" customWidth="1" collapsed="1"/>
    <col min="4" max="4" width="11.125" style="3" customWidth="1" collapsed="1"/>
    <col min="5" max="5" width="8.125" style="1" customWidth="1" collapsed="1"/>
    <col min="6" max="6" width="8.625" style="2" customWidth="1"/>
    <col min="7" max="7" width="6.25" style="1" customWidth="1"/>
    <col min="8" max="8" width="10" style="2" customWidth="1"/>
  </cols>
  <sheetData>
    <row r="1" spans="1:8" ht="63" customHeight="1">
      <c r="A1" s="17" t="s">
        <v>35</v>
      </c>
      <c r="B1" s="18"/>
      <c r="C1" s="18"/>
      <c r="D1" s="18"/>
      <c r="E1" s="18"/>
      <c r="F1" s="18"/>
      <c r="G1" s="18"/>
      <c r="H1" s="18"/>
    </row>
    <row r="2" spans="1:8" ht="33" customHeight="1">
      <c r="A2" s="19" t="s">
        <v>92</v>
      </c>
      <c r="B2" s="20"/>
      <c r="C2" s="20"/>
      <c r="D2" s="20"/>
      <c r="E2" s="20"/>
      <c r="F2" s="20"/>
      <c r="G2" s="20"/>
      <c r="H2" s="21"/>
    </row>
    <row r="3" spans="1:8" ht="27.75" customHeight="1">
      <c r="A3" s="5" t="s">
        <v>29</v>
      </c>
      <c r="B3" s="5" t="s">
        <v>0</v>
      </c>
      <c r="C3" s="10" t="s">
        <v>1</v>
      </c>
      <c r="D3" s="10" t="s">
        <v>2</v>
      </c>
      <c r="E3" s="5" t="s">
        <v>3</v>
      </c>
      <c r="F3" s="5" t="s">
        <v>36</v>
      </c>
      <c r="G3" s="5" t="s">
        <v>26</v>
      </c>
      <c r="H3" s="5" t="s">
        <v>37</v>
      </c>
    </row>
    <row r="4" spans="1:8" ht="23.25" customHeight="1">
      <c r="A4" s="16">
        <v>1</v>
      </c>
      <c r="B4" s="11" t="s">
        <v>38</v>
      </c>
      <c r="C4" s="11" t="s">
        <v>39</v>
      </c>
      <c r="D4" s="11" t="s">
        <v>40</v>
      </c>
      <c r="E4" s="12">
        <v>2025</v>
      </c>
      <c r="F4" s="13">
        <v>18800</v>
      </c>
      <c r="G4" s="14">
        <v>1</v>
      </c>
      <c r="H4" s="15">
        <f>F4*G4</f>
        <v>18800</v>
      </c>
    </row>
    <row r="5" spans="1:8" ht="23.25" customHeight="1">
      <c r="A5" s="4" t="s">
        <v>91</v>
      </c>
      <c r="B5" s="11" t="s">
        <v>41</v>
      </c>
      <c r="C5" s="11" t="s">
        <v>42</v>
      </c>
      <c r="D5" s="11" t="s">
        <v>43</v>
      </c>
      <c r="E5" s="12">
        <v>2025</v>
      </c>
      <c r="F5" s="13">
        <v>25000</v>
      </c>
      <c r="G5" s="14">
        <v>1</v>
      </c>
      <c r="H5" s="15">
        <f t="shared" ref="H5:H30" si="0">F5*G5</f>
        <v>25000</v>
      </c>
    </row>
    <row r="6" spans="1:8" ht="22.5" customHeight="1">
      <c r="A6" s="4" t="s">
        <v>4</v>
      </c>
      <c r="B6" s="11" t="s">
        <v>44</v>
      </c>
      <c r="C6" s="11" t="s">
        <v>45</v>
      </c>
      <c r="D6" s="11" t="s">
        <v>46</v>
      </c>
      <c r="E6" s="12">
        <v>2022</v>
      </c>
      <c r="F6" s="13">
        <v>16500</v>
      </c>
      <c r="G6" s="14">
        <v>1</v>
      </c>
      <c r="H6" s="15">
        <f t="shared" si="0"/>
        <v>16500</v>
      </c>
    </row>
    <row r="7" spans="1:8" ht="23.25" customHeight="1">
      <c r="A7" s="4" t="s">
        <v>5</v>
      </c>
      <c r="B7" s="11" t="s">
        <v>47</v>
      </c>
      <c r="C7" s="11" t="s">
        <v>48</v>
      </c>
      <c r="D7" s="11" t="s">
        <v>49</v>
      </c>
      <c r="E7" s="12">
        <v>2025</v>
      </c>
      <c r="F7" s="13">
        <v>14000</v>
      </c>
      <c r="G7" s="14">
        <v>1</v>
      </c>
      <c r="H7" s="15">
        <f t="shared" si="0"/>
        <v>14000</v>
      </c>
    </row>
    <row r="8" spans="1:8" ht="23.25" customHeight="1">
      <c r="A8" s="4" t="s">
        <v>6</v>
      </c>
      <c r="B8" s="11" t="s">
        <v>50</v>
      </c>
      <c r="C8" s="11" t="s">
        <v>51</v>
      </c>
      <c r="D8" s="11" t="s">
        <v>32</v>
      </c>
      <c r="E8" s="12">
        <v>2025</v>
      </c>
      <c r="F8" s="13">
        <v>13000</v>
      </c>
      <c r="G8" s="14">
        <v>1</v>
      </c>
      <c r="H8" s="15">
        <f t="shared" si="0"/>
        <v>13000</v>
      </c>
    </row>
    <row r="9" spans="1:8" ht="23.25" customHeight="1">
      <c r="A9" s="4" t="s">
        <v>7</v>
      </c>
      <c r="B9" s="11" t="s">
        <v>94</v>
      </c>
      <c r="C9" s="11" t="s">
        <v>52</v>
      </c>
      <c r="D9" s="11" t="s">
        <v>34</v>
      </c>
      <c r="E9" s="12">
        <v>2025</v>
      </c>
      <c r="F9" s="13">
        <v>20000</v>
      </c>
      <c r="G9" s="14">
        <v>1</v>
      </c>
      <c r="H9" s="15">
        <f t="shared" si="0"/>
        <v>20000</v>
      </c>
    </row>
    <row r="10" spans="1:8" ht="23.25" customHeight="1">
      <c r="A10" s="4" t="s">
        <v>8</v>
      </c>
      <c r="B10" s="11" t="s">
        <v>93</v>
      </c>
      <c r="C10" s="11" t="s">
        <v>53</v>
      </c>
      <c r="D10" s="11" t="s">
        <v>33</v>
      </c>
      <c r="E10" s="12">
        <v>2025</v>
      </c>
      <c r="F10" s="13">
        <v>19800</v>
      </c>
      <c r="G10" s="14">
        <v>1</v>
      </c>
      <c r="H10" s="15">
        <f t="shared" si="0"/>
        <v>19800</v>
      </c>
    </row>
    <row r="11" spans="1:8" ht="23.25" customHeight="1">
      <c r="A11" s="4" t="s">
        <v>9</v>
      </c>
      <c r="B11" s="11" t="s">
        <v>95</v>
      </c>
      <c r="C11" s="11" t="s">
        <v>54</v>
      </c>
      <c r="D11" s="11" t="s">
        <v>55</v>
      </c>
      <c r="E11" s="12">
        <v>2025</v>
      </c>
      <c r="F11" s="13">
        <v>22000</v>
      </c>
      <c r="G11" s="14">
        <v>1</v>
      </c>
      <c r="H11" s="15">
        <f t="shared" si="0"/>
        <v>22000</v>
      </c>
    </row>
    <row r="12" spans="1:8" ht="23.25" customHeight="1">
      <c r="A12" s="4" t="s">
        <v>10</v>
      </c>
      <c r="B12" s="11" t="s">
        <v>96</v>
      </c>
      <c r="C12" s="11" t="s">
        <v>56</v>
      </c>
      <c r="D12" s="11" t="s">
        <v>57</v>
      </c>
      <c r="E12" s="12">
        <v>2022</v>
      </c>
      <c r="F12" s="13">
        <v>17000</v>
      </c>
      <c r="G12" s="14">
        <v>1</v>
      </c>
      <c r="H12" s="15">
        <f t="shared" si="0"/>
        <v>17000</v>
      </c>
    </row>
    <row r="13" spans="1:8" ht="23.25" customHeight="1">
      <c r="A13" s="4" t="s">
        <v>11</v>
      </c>
      <c r="B13" s="11" t="s">
        <v>97</v>
      </c>
      <c r="C13" s="11" t="s">
        <v>58</v>
      </c>
      <c r="D13" s="11" t="s">
        <v>59</v>
      </c>
      <c r="E13" s="12">
        <v>2017</v>
      </c>
      <c r="F13" s="13">
        <v>18000</v>
      </c>
      <c r="G13" s="14">
        <v>1</v>
      </c>
      <c r="H13" s="15">
        <f t="shared" si="0"/>
        <v>18000</v>
      </c>
    </row>
    <row r="14" spans="1:8" ht="23.25" customHeight="1">
      <c r="A14" s="4" t="s">
        <v>12</v>
      </c>
      <c r="B14" s="11" t="s">
        <v>98</v>
      </c>
      <c r="C14" s="11" t="s">
        <v>60</v>
      </c>
      <c r="D14" s="11" t="s">
        <v>61</v>
      </c>
      <c r="E14" s="12">
        <v>2022</v>
      </c>
      <c r="F14" s="13">
        <v>27000</v>
      </c>
      <c r="G14" s="14">
        <v>1</v>
      </c>
      <c r="H14" s="15">
        <f t="shared" si="0"/>
        <v>27000</v>
      </c>
    </row>
    <row r="15" spans="1:8" ht="23.25" customHeight="1">
      <c r="A15" s="4" t="s">
        <v>13</v>
      </c>
      <c r="B15" s="11" t="s">
        <v>99</v>
      </c>
      <c r="C15" s="11" t="s">
        <v>62</v>
      </c>
      <c r="D15" s="11" t="s">
        <v>63</v>
      </c>
      <c r="E15" s="12">
        <v>2021</v>
      </c>
      <c r="F15" s="13">
        <v>12000</v>
      </c>
      <c r="G15" s="14">
        <v>1</v>
      </c>
      <c r="H15" s="15">
        <f t="shared" si="0"/>
        <v>12000</v>
      </c>
    </row>
    <row r="16" spans="1:8" ht="23.25" customHeight="1">
      <c r="A16" s="4" t="s">
        <v>14</v>
      </c>
      <c r="B16" s="11" t="s">
        <v>100</v>
      </c>
      <c r="C16" s="11" t="s">
        <v>64</v>
      </c>
      <c r="D16" s="11" t="s">
        <v>65</v>
      </c>
      <c r="E16" s="12">
        <v>2025</v>
      </c>
      <c r="F16" s="13">
        <v>25800</v>
      </c>
      <c r="G16" s="14">
        <v>1</v>
      </c>
      <c r="H16" s="15">
        <f t="shared" si="0"/>
        <v>25800</v>
      </c>
    </row>
    <row r="17" spans="1:8" ht="23.25" customHeight="1">
      <c r="A17" s="4" t="s">
        <v>15</v>
      </c>
      <c r="B17" s="11" t="s">
        <v>101</v>
      </c>
      <c r="C17" s="11" t="s">
        <v>66</v>
      </c>
      <c r="D17" s="11" t="s">
        <v>67</v>
      </c>
      <c r="E17" s="12">
        <v>2025</v>
      </c>
      <c r="F17" s="13">
        <v>17000</v>
      </c>
      <c r="G17" s="14">
        <v>1</v>
      </c>
      <c r="H17" s="15">
        <f t="shared" si="0"/>
        <v>17000</v>
      </c>
    </row>
    <row r="18" spans="1:8" ht="23.25" customHeight="1">
      <c r="A18" s="4" t="s">
        <v>16</v>
      </c>
      <c r="B18" s="11" t="s">
        <v>102</v>
      </c>
      <c r="C18" s="11" t="s">
        <v>68</v>
      </c>
      <c r="D18" s="11" t="s">
        <v>69</v>
      </c>
      <c r="E18" s="12">
        <v>2025</v>
      </c>
      <c r="F18" s="13">
        <v>15000</v>
      </c>
      <c r="G18" s="14">
        <v>1</v>
      </c>
      <c r="H18" s="15">
        <f t="shared" si="0"/>
        <v>15000</v>
      </c>
    </row>
    <row r="19" spans="1:8" ht="23.25" customHeight="1">
      <c r="A19" s="4" t="s">
        <v>17</v>
      </c>
      <c r="B19" s="11" t="s">
        <v>103</v>
      </c>
      <c r="C19" s="11" t="s">
        <v>70</v>
      </c>
      <c r="D19" s="11" t="s">
        <v>71</v>
      </c>
      <c r="E19" s="12">
        <v>2025</v>
      </c>
      <c r="F19" s="13">
        <v>18500</v>
      </c>
      <c r="G19" s="14">
        <v>1</v>
      </c>
      <c r="H19" s="15">
        <f t="shared" si="0"/>
        <v>18500</v>
      </c>
    </row>
    <row r="20" spans="1:8" ht="23.25" customHeight="1">
      <c r="A20" s="4" t="s">
        <v>18</v>
      </c>
      <c r="B20" s="11" t="s">
        <v>104</v>
      </c>
      <c r="C20" s="11" t="s">
        <v>72</v>
      </c>
      <c r="D20" s="11" t="s">
        <v>73</v>
      </c>
      <c r="E20" s="12">
        <v>2025</v>
      </c>
      <c r="F20" s="13">
        <v>16000</v>
      </c>
      <c r="G20" s="14">
        <v>1</v>
      </c>
      <c r="H20" s="15">
        <f t="shared" si="0"/>
        <v>16000</v>
      </c>
    </row>
    <row r="21" spans="1:8" ht="23.25" customHeight="1">
      <c r="A21" s="4" t="s">
        <v>19</v>
      </c>
      <c r="B21" s="11" t="s">
        <v>105</v>
      </c>
      <c r="C21" s="11" t="s">
        <v>74</v>
      </c>
      <c r="D21" s="11" t="s">
        <v>75</v>
      </c>
      <c r="E21" s="12">
        <v>2025</v>
      </c>
      <c r="F21" s="13">
        <v>19800</v>
      </c>
      <c r="G21" s="14">
        <v>1</v>
      </c>
      <c r="H21" s="15">
        <f t="shared" si="0"/>
        <v>19800</v>
      </c>
    </row>
    <row r="22" spans="1:8" ht="23.25" customHeight="1">
      <c r="A22" s="4" t="s">
        <v>20</v>
      </c>
      <c r="B22" s="11" t="s">
        <v>106</v>
      </c>
      <c r="C22" s="11" t="s">
        <v>76</v>
      </c>
      <c r="D22" s="11" t="s">
        <v>77</v>
      </c>
      <c r="E22" s="12">
        <v>2025</v>
      </c>
      <c r="F22" s="13">
        <v>15000</v>
      </c>
      <c r="G22" s="14">
        <v>1</v>
      </c>
      <c r="H22" s="15">
        <f t="shared" si="0"/>
        <v>15000</v>
      </c>
    </row>
    <row r="23" spans="1:8" ht="23.25" customHeight="1">
      <c r="A23" s="4" t="s">
        <v>21</v>
      </c>
      <c r="B23" s="11" t="s">
        <v>107</v>
      </c>
      <c r="C23" s="11" t="s">
        <v>78</v>
      </c>
      <c r="D23" s="11" t="s">
        <v>79</v>
      </c>
      <c r="E23" s="12">
        <v>2025</v>
      </c>
      <c r="F23" s="13">
        <v>16000</v>
      </c>
      <c r="G23" s="14">
        <v>1</v>
      </c>
      <c r="H23" s="15">
        <f t="shared" si="0"/>
        <v>16000</v>
      </c>
    </row>
    <row r="24" spans="1:8" ht="23.25" customHeight="1">
      <c r="A24" s="4" t="s">
        <v>22</v>
      </c>
      <c r="B24" s="11" t="s">
        <v>108</v>
      </c>
      <c r="C24" s="11" t="s">
        <v>80</v>
      </c>
      <c r="D24" s="11" t="s">
        <v>81</v>
      </c>
      <c r="E24" s="12">
        <v>2025</v>
      </c>
      <c r="F24" s="13">
        <v>18800</v>
      </c>
      <c r="G24" s="14">
        <v>1</v>
      </c>
      <c r="H24" s="15">
        <f t="shared" si="0"/>
        <v>18800</v>
      </c>
    </row>
    <row r="25" spans="1:8" ht="23.25" customHeight="1">
      <c r="A25" s="4" t="s">
        <v>23</v>
      </c>
      <c r="B25" s="11" t="s">
        <v>109</v>
      </c>
      <c r="C25" s="11" t="s">
        <v>82</v>
      </c>
      <c r="D25" s="11" t="s">
        <v>83</v>
      </c>
      <c r="E25" s="12">
        <v>2021</v>
      </c>
      <c r="F25" s="13">
        <v>16000</v>
      </c>
      <c r="G25" s="14">
        <v>1</v>
      </c>
      <c r="H25" s="15">
        <f t="shared" si="0"/>
        <v>16000</v>
      </c>
    </row>
    <row r="26" spans="1:8" ht="23.25" customHeight="1">
      <c r="A26" s="4" t="s">
        <v>24</v>
      </c>
      <c r="B26" s="11" t="s">
        <v>110</v>
      </c>
      <c r="C26" s="11" t="s">
        <v>84</v>
      </c>
      <c r="D26" s="11" t="s">
        <v>85</v>
      </c>
      <c r="E26" s="12">
        <v>2025</v>
      </c>
      <c r="F26" s="13">
        <v>22000</v>
      </c>
      <c r="G26" s="14">
        <v>1</v>
      </c>
      <c r="H26" s="15">
        <f t="shared" si="0"/>
        <v>22000</v>
      </c>
    </row>
    <row r="27" spans="1:8" ht="23.25" customHeight="1">
      <c r="A27" s="4" t="s">
        <v>25</v>
      </c>
      <c r="B27" s="11" t="s">
        <v>111</v>
      </c>
      <c r="C27" s="11" t="s">
        <v>86</v>
      </c>
      <c r="D27" s="11" t="s">
        <v>59</v>
      </c>
      <c r="E27" s="12">
        <v>2025</v>
      </c>
      <c r="F27" s="13">
        <v>22000</v>
      </c>
      <c r="G27" s="14">
        <v>1</v>
      </c>
      <c r="H27" s="15">
        <f t="shared" si="0"/>
        <v>22000</v>
      </c>
    </row>
    <row r="28" spans="1:8" ht="23.25" customHeight="1">
      <c r="A28" s="4" t="s">
        <v>27</v>
      </c>
      <c r="B28" s="11" t="s">
        <v>112</v>
      </c>
      <c r="C28" s="11" t="s">
        <v>87</v>
      </c>
      <c r="D28" s="11" t="s">
        <v>32</v>
      </c>
      <c r="E28" s="12">
        <v>2025</v>
      </c>
      <c r="F28" s="13">
        <v>16800</v>
      </c>
      <c r="G28" s="14">
        <v>1</v>
      </c>
      <c r="H28" s="15">
        <f t="shared" si="0"/>
        <v>16800</v>
      </c>
    </row>
    <row r="29" spans="1:8" ht="23.25" customHeight="1">
      <c r="A29" s="4" t="s">
        <v>28</v>
      </c>
      <c r="B29" s="11" t="s">
        <v>113</v>
      </c>
      <c r="C29" s="11" t="s">
        <v>88</v>
      </c>
      <c r="D29" s="11" t="s">
        <v>89</v>
      </c>
      <c r="E29" s="12">
        <v>2025</v>
      </c>
      <c r="F29" s="13">
        <v>17800</v>
      </c>
      <c r="G29" s="14">
        <v>1</v>
      </c>
      <c r="H29" s="15">
        <f t="shared" si="0"/>
        <v>17800</v>
      </c>
    </row>
    <row r="30" spans="1:8" ht="23.25" customHeight="1">
      <c r="A30" s="4" t="s">
        <v>31</v>
      </c>
      <c r="B30" s="11" t="s">
        <v>114</v>
      </c>
      <c r="C30" s="11" t="s">
        <v>90</v>
      </c>
      <c r="D30" s="11" t="s">
        <v>59</v>
      </c>
      <c r="E30" s="12">
        <v>2025</v>
      </c>
      <c r="F30" s="13">
        <v>22000</v>
      </c>
      <c r="G30" s="14">
        <v>1</v>
      </c>
      <c r="H30" s="15">
        <f t="shared" si="0"/>
        <v>22000</v>
      </c>
    </row>
    <row r="31" spans="1:8" ht="30" customHeight="1">
      <c r="A31" s="6" t="s">
        <v>30</v>
      </c>
      <c r="B31" s="7"/>
      <c r="C31" s="7"/>
      <c r="D31" s="7"/>
      <c r="E31" s="6"/>
      <c r="F31" s="8"/>
      <c r="G31" s="6">
        <f>SUM(G4:G30)</f>
        <v>27</v>
      </c>
      <c r="H31" s="9">
        <f>SUM(H4:H30)</f>
        <v>501600</v>
      </c>
    </row>
  </sheetData>
  <mergeCells count="2">
    <mergeCell ref="A1:H1"/>
    <mergeCell ref="A2:H2"/>
  </mergeCells>
  <phoneticPr fontId="1" type="noConversion"/>
  <pageMargins left="0.17" right="0.17" top="0.39370078740157483" bottom="0.39370078740157483" header="0.31496062992125984" footer="0.31496062992125984"/>
  <pageSetup paperSize="9" scale="85" orientation="portrait" r:id="rId1"/>
  <ignoredErrors>
    <ignoredError sqref="A5 A6:A13 A14:A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제1차</vt:lpstr>
      <vt:lpstr>제1차!Print_Titles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2026-01-03T06:53:13Z</cp:lastPrinted>
  <dcterms:created xsi:type="dcterms:W3CDTF">2024-06-16T02:01:26Z</dcterms:created>
  <dcterms:modified xsi:type="dcterms:W3CDTF">2026-01-07T08:26:22Z</dcterms:modified>
</cp:coreProperties>
</file>